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warnermedia-my.sharepoint.com/personal/darian_worley_wbd_com/Documents/DGO Projects/Data Trust/"/>
    </mc:Choice>
  </mc:AlternateContent>
  <xr:revisionPtr revIDLastSave="20" documentId="11_2D0FDF3E4C0875290407D6A6960077BA2ED798A9" xr6:coauthVersionLast="47" xr6:coauthVersionMax="47" xr10:uidLastSave="{9564E92F-D0A0-6A48-AC5E-766ACE9B3C75}"/>
  <bookViews>
    <workbookView xWindow="32640" yWindow="1920" windowWidth="31120" windowHeight="20980" tabRatio="500" activeTab="5" xr2:uid="{00000000-000D-0000-FFFF-FFFF00000000}"/>
  </bookViews>
  <sheets>
    <sheet name="Overview" sheetId="1" r:id="rId1"/>
    <sheet name="Framework &amp; Weights" sheetId="2" r:id="rId2"/>
    <sheet name="Scoring Rubrics" sheetId="3" r:id="rId3"/>
    <sheet name="Trust Bands" sheetId="4" r:id="rId4"/>
    <sheet name="Score - STG_POSITION" sheetId="5" r:id="rId5"/>
    <sheet name="Score - STG_TRENDED" sheetId="6" r:id="rId6"/>
    <sheet name="Dataset Summary" sheetId="7" r:id="rId7"/>
    <sheet name="Roadmap to Certified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7" l="1"/>
  <c r="E10" i="7"/>
  <c r="E6" i="7"/>
  <c r="E4" i="7"/>
  <c r="K18" i="6"/>
  <c r="J18" i="6"/>
  <c r="I18" i="6"/>
  <c r="H18" i="6"/>
  <c r="G18" i="6"/>
  <c r="F18" i="6"/>
  <c r="E18" i="6"/>
  <c r="D18" i="6"/>
  <c r="C18" i="6"/>
  <c r="M16" i="6"/>
  <c r="M15" i="6"/>
  <c r="M14" i="6"/>
  <c r="M13" i="6"/>
  <c r="M12" i="6"/>
  <c r="M11" i="6"/>
  <c r="M10" i="6"/>
  <c r="M9" i="6"/>
  <c r="M8" i="6"/>
  <c r="M7" i="6"/>
  <c r="K6" i="6"/>
  <c r="J6" i="6"/>
  <c r="I6" i="6"/>
  <c r="H6" i="6"/>
  <c r="G6" i="6"/>
  <c r="F6" i="6"/>
  <c r="E6" i="6"/>
  <c r="D6" i="6"/>
  <c r="C6" i="6"/>
  <c r="B6" i="6"/>
  <c r="C4" i="6"/>
  <c r="C3" i="6"/>
  <c r="K18" i="5"/>
  <c r="J18" i="5"/>
  <c r="I18" i="5"/>
  <c r="H18" i="5"/>
  <c r="G18" i="5"/>
  <c r="F18" i="5"/>
  <c r="E18" i="5"/>
  <c r="D18" i="5"/>
  <c r="C18" i="5"/>
  <c r="N16" i="5"/>
  <c r="M16" i="5"/>
  <c r="B16" i="5"/>
  <c r="M15" i="5"/>
  <c r="B15" i="5"/>
  <c r="M14" i="5"/>
  <c r="B14" i="5"/>
  <c r="M13" i="5"/>
  <c r="B13" i="5"/>
  <c r="M12" i="5"/>
  <c r="M11" i="5"/>
  <c r="M10" i="5"/>
  <c r="M9" i="5"/>
  <c r="M8" i="5"/>
  <c r="M7" i="5"/>
  <c r="K6" i="5"/>
  <c r="J6" i="5"/>
  <c r="I6" i="5"/>
  <c r="H6" i="5"/>
  <c r="G6" i="5"/>
  <c r="F6" i="5"/>
  <c r="E6" i="5"/>
  <c r="D6" i="5"/>
  <c r="C6" i="5"/>
  <c r="B6" i="5"/>
  <c r="C4" i="5"/>
  <c r="C3" i="5"/>
  <c r="E13" i="2"/>
  <c r="E12" i="7" l="1"/>
  <c r="E5" i="7"/>
  <c r="E9" i="7"/>
  <c r="D9" i="7"/>
  <c r="E8" i="7"/>
  <c r="D8" i="7"/>
  <c r="E7" i="7"/>
  <c r="D7" i="7"/>
  <c r="D6" i="7"/>
  <c r="D4" i="7"/>
  <c r="B15" i="6"/>
  <c r="B14" i="6"/>
  <c r="D5" i="7"/>
  <c r="B16" i="6"/>
  <c r="N16" i="6" s="1"/>
  <c r="B7" i="6"/>
  <c r="N15" i="5"/>
  <c r="N14" i="5"/>
  <c r="N13" i="5"/>
  <c r="B13" i="6"/>
  <c r="N13" i="6" s="1"/>
  <c r="B12" i="6"/>
  <c r="B11" i="6"/>
  <c r="B10" i="6"/>
  <c r="B8" i="6"/>
  <c r="N8" i="6" s="1"/>
  <c r="B12" i="5"/>
  <c r="B11" i="5"/>
  <c r="B10" i="5"/>
  <c r="B9" i="5"/>
  <c r="B8" i="5"/>
  <c r="N7" i="5"/>
  <c r="B7" i="5"/>
  <c r="D12" i="7"/>
  <c r="D11" i="7"/>
  <c r="D10" i="7"/>
  <c r="B9" i="6"/>
  <c r="N9" i="6" s="1"/>
  <c r="N7" i="6" l="1"/>
  <c r="B18" i="6"/>
  <c r="E3" i="7" s="1"/>
  <c r="F5" i="7"/>
  <c r="F4" i="7"/>
  <c r="N15" i="6"/>
  <c r="N14" i="6"/>
  <c r="N12" i="5"/>
  <c r="N10" i="6"/>
  <c r="N11" i="5"/>
  <c r="N10" i="5"/>
  <c r="N8" i="5"/>
  <c r="B18" i="5"/>
  <c r="D3" i="7" s="1"/>
  <c r="F12" i="7"/>
  <c r="F11" i="7"/>
  <c r="F10" i="7"/>
  <c r="F9" i="7"/>
  <c r="F8" i="7"/>
  <c r="F7" i="7"/>
  <c r="F6" i="7"/>
  <c r="N12" i="6"/>
  <c r="N11" i="6"/>
  <c r="N9" i="5"/>
  <c r="N18" i="6" l="1"/>
  <c r="F3" i="7"/>
  <c r="N18" i="5"/>
  <c r="C19" i="6" l="1"/>
  <c r="E13" i="7"/>
  <c r="E14" i="7"/>
  <c r="C19" i="5"/>
  <c r="D13" i="7"/>
  <c r="D14" i="7" s="1"/>
  <c r="F13" i="7" l="1"/>
</calcChain>
</file>

<file path=xl/sharedStrings.xml><?xml version="1.0" encoding="utf-8"?>
<sst xmlns="http://schemas.openxmlformats.org/spreadsheetml/2006/main" count="410" uniqueCount="286">
  <si>
    <t>Data Trust Score Framework — Version 2</t>
  </si>
  <si>
    <t>Internal Working Document | Data Trust Program | Warner Bros. Discovery</t>
  </si>
  <si>
    <t>1. Purpose</t>
  </si>
  <si>
    <t>The Data Trust Score (DTS) is a standard way to measure how far we can trust a data asset. It answers a simple question: should I trust this data for a business decision? The score pulls together quality metrics, observability signals, governance records and user sentiment, then produces a single 0–100 score for each data element and a roll-up score for the dataset.</t>
  </si>
  <si>
    <t>Version 2 builds on the original 9-dimension model. It splits Data Quality measurement (business-owned) from Observability and Active Issues (both IT-owned), taking the model from 9 dimensions to 10. It also re-weights the framework around regulatory priorities and adds a DQ Measurement Layer for cases where we don't yet have end-to-end lineage back to a source system.</t>
  </si>
  <si>
    <t>2. What Changed from v1?</t>
  </si>
  <si>
    <t>• Data Quality (v1: 6 DAMA dims, 30 pts) split into three dimensions: DQ / 5 DAMA dims (22 pts, Business-owned), Observability (12 pts, IT-owned), Active Issues (5 pts, IT-owned). Timeliness/Freshness moved out of DQ into Observability.</t>
  </si>
  <si>
    <t>• Classification, Privacy &amp; Security raised from 8 → 12 pts to reflect growing regulatory obligations (GDPR, CCPA, WBD Security Policy).</t>
  </si>
  <si>
    <t>• Business Definitions lowered 11 → 9 pts; Usage lowered 8 → 5 pts; User Feedback lowered 4 → 3 pts.</t>
  </si>
  <si>
    <t>• Total weight unchanged at 100 pts.</t>
  </si>
  <si>
    <t>3. DQ Measurement Layer (NEW in v2)</t>
  </si>
  <si>
    <t>When Informatica IDQ can't measure DQ at the source system (because we don't yet have end-to-end lineage), the framework takes a hybrid approach. It scores DQ from the most upstream layer available, then applies a DQ Confidence Factor to scale the raw score down.</t>
  </si>
  <si>
    <t>Confidence Factors by layer:</t>
  </si>
  <si>
    <t xml:space="preserve">  • Source system   → 1.00  (full confidence)</t>
  </si>
  <si>
    <t xml:space="preserve">  • Bronze / Landing → 0.90  (minor transformation risk)</t>
  </si>
  <si>
    <t xml:space="preserve">  • Silver / Cleansed → 0.75  (moderate transformation risk)</t>
  </si>
  <si>
    <t xml:space="preserve">  • Gold / Serving   → 0.60  (significant transformation risk)</t>
  </si>
  <si>
    <t>Effective DQ score = DQ rubric score (0–1) × Confidence Factor</t>
  </si>
  <si>
    <t>Each Scoring tab contains a 'DQ Measurement Layer' dropdown (Source / Bronze / Silver / Gold) and a 'DQ Confidence Factor' cell that auto-populates based on the selection. All element-level DQ scores automatically incorporate the Confidence Factor.</t>
  </si>
  <si>
    <t>4. Trust Bands</t>
  </si>
  <si>
    <t>Certified  ≥ 90   — Production-ready; approved for strategic decision-making</t>
  </si>
  <si>
    <t>Trusted     75–89 — High confidence; suitable for most business use cases</t>
  </si>
  <si>
    <t>Developing  60–74 — Moderate gaps; suitable with documented caveats</t>
  </si>
  <si>
    <t>Provisional 40–59 — Significant gaps; use with caution and human review</t>
  </si>
  <si>
    <t>At Risk      0–39  — Insufficient quality/governance; escalate before use</t>
  </si>
  <si>
    <t>5. How to Use This Workbook</t>
  </si>
  <si>
    <t>• Framework &amp; Weights (Sheet 2): Review dimensions, weights, and definitions. Yellow cells are editable.</t>
  </si>
  <si>
    <t>• Scoring Rubrics (Sheet 3): Reference the 0/25/50/75/100 rubrics when assigning scores.</t>
  </si>
  <si>
    <t>• Trust Bands (Sheet 4): Understand what each score band means operationally.</t>
  </si>
  <si>
    <t>• Score Tabs (Sheets 5–6): Enter element-level scores and select the DQ Measurement Layer. Scores roll up automatically.</t>
  </si>
  <si>
    <t>• Dataset Summary (Sheet 7): Cross-dataset comparison of dimension averages and overall scores.</t>
  </si>
  <si>
    <t>• Roadmap to Certified (Sheet 8): Prioritised action items to close gaps.</t>
  </si>
  <si>
    <t>#</t>
  </si>
  <si>
    <t>Dimension</t>
  </si>
  <si>
    <t>Owner
(Bus/IT/Both)</t>
  </si>
  <si>
    <t>Tier</t>
  </si>
  <si>
    <t>Weight
(pts)</t>
  </si>
  <si>
    <t>Definition &amp; What Is Measured</t>
  </si>
  <si>
    <t>High Score =</t>
  </si>
  <si>
    <t>Low-Score Risk / Change from v1</t>
  </si>
  <si>
    <t>CDE Multiplier:</t>
  </si>
  <si>
    <t>← Editable: CDE elements are multiplied by this factor in scoring tabs</t>
  </si>
  <si>
    <t>Data Quality
(5 DAMA dims)</t>
  </si>
  <si>
    <t>Business</t>
  </si>
  <si>
    <t>Quality</t>
  </si>
  <si>
    <t>Measures: Completeness, Accuracy, Consistency, Validity, Uniqueness
Scored via Informatica IDQ rules. Timeliness removed (→ Observability).</t>
  </si>
  <si>
    <t>All 5 DAMA dims passing IDQ thresholds; DQ rules defined and monitored at source.</t>
  </si>
  <si>
    <t>Data cannot be trusted for decisions; missing/inaccurate fields cause downstream errors.
Change from v1: Split from 30-pt DQ (6 dims); Timeliness moved to Observability.</t>
  </si>
  <si>
    <t>Data Observability
(Freshness, Volume,
Schema, Pipeline)</t>
  </si>
  <si>
    <t>IT</t>
  </si>
  <si>
    <t>Measures: Freshness/Timeliness, Volume anomalies, Schema drift, Pipeline health
Monitored via IDQ / Snowflake monitoring.</t>
  </si>
  <si>
    <t>All 4 signals green; automated alerts in place; no anomalies.</t>
  </si>
  <si>
    <t>Stale, incomplete, or structurally drifted data reaching consumers without alerting.
Change from v1: New dimension; Freshness/Timeliness migrated from DQ.</t>
  </si>
  <si>
    <t>Active Issues
(P1/P2 incidents,
SLA breaches)</t>
  </si>
  <si>
    <t>Measures: Open P1/P2 incidents, SLA breaches, Unresolved pipeline failures.</t>
  </si>
  <si>
    <t>Zero open incidents; SLA consistently met.</t>
  </si>
  <si>
    <t>Unresolved quality issues are impacting downstream consumers.
Change from v1: New dimension carved from operational signals.</t>
  </si>
  <si>
    <t>Ownership &amp;
Stewardship</t>
  </si>
  <si>
    <t>Both</t>
  </si>
  <si>
    <t>Foundational</t>
  </si>
  <si>
    <t>Measures: Data Owner, Data Steward, Data Custodian assigned.
Tracked in APM / Collibra.</t>
  </si>
  <si>
    <t>All 3 roles assigned, active, and documented in Collibra.</t>
  </si>
  <si>
    <t>No accountability; escalations unresolved; data degrades without stewardship.</t>
  </si>
  <si>
    <t>Authoritative Source
&amp; Certification</t>
  </si>
  <si>
    <t>Measures: Is this the enterprise System of Record? Has it been certified?
Tracked in Collibra.</t>
  </si>
  <si>
    <t>Enterprise-Certified Source of Truth (Gold certification in Collibra).</t>
  </si>
  <si>
    <t>Consumers may use incorrect or duplicated source; certification gap creates trust risk.</t>
  </si>
  <si>
    <t>Data Lineage</t>
  </si>
  <si>
    <t>Measures: End-to-end lineage from source to consumption, including transformations.
Tracked in Collibra.</t>
  </si>
  <si>
    <t>Full column-level lineage including transformation logic documented.</t>
  </si>
  <si>
    <t>Impact analysis impossible; DQ remediation blindspot; confidence in provenance low.</t>
  </si>
  <si>
    <t>Business Definitions
/ Glossary</t>
  </si>
  <si>
    <t>Trust</t>
  </si>
  <si>
    <t>Measures: Business glossary term approved and linked to asset in Collibra.</t>
  </si>
  <si>
    <t>Approved, complete business definitions linked to all key attributes.</t>
  </si>
  <si>
    <t>Ambiguous terminology leads to misinterpretation; business adoption stalls.
Change from v1: Weight reduced 11 → 9 pts.</t>
  </si>
  <si>
    <t>Classification,
Privacy &amp; Security</t>
  </si>
  <si>
    <t>Protection</t>
  </si>
  <si>
    <t>Measures: Data Classification, PII flag, Security classification, SPI flag.
Explicit 'No' = full credit; only blank is penalised.</t>
  </si>
  <si>
    <t>All 4 determinations populated (Yes or No); security controls aligned.</t>
  </si>
  <si>
    <t>Regulatory exposure (GDPR, CCPA); security incidents; audit findings.
Change from v1: Weight raised 8 → 12 pts (regulatory priority).</t>
  </si>
  <si>
    <t>Usage</t>
  </si>
  <si>
    <t>Adoption</t>
  </si>
  <si>
    <t>Measures: Number of consuming teams tracked in data catalog.</t>
  </si>
  <si>
    <t>10+ teams actively using; catalog shows confirmed consumption.</t>
  </si>
  <si>
    <t>Low adoption may indicate trust gap or discoverability issue.
Change from v1: Weight reduced 8 → 5 pts.</t>
  </si>
  <si>
    <t>User Feedback</t>
  </si>
  <si>
    <t>Measures: Structured positive feedback from data consumers via survey or catalog rating.</t>
  </si>
  <si>
    <t>Positive structured feedback from multiple consumer teams.</t>
  </si>
  <si>
    <t>Negative or absent feedback indicates undiscovered quality or usability issues.
Change from v1: Weight reduced 4 → 3 pts.</t>
  </si>
  <si>
    <t>TOTAL</t>
  </si>
  <si>
    <t>Note: Yellow cells are editable — change a weight or multiplier and every Scoring tab recalculates.</t>
  </si>
  <si>
    <t>0%</t>
  </si>
  <si>
    <t>25%</t>
  </si>
  <si>
    <t>50%</t>
  </si>
  <si>
    <t>75%</t>
  </si>
  <si>
    <t>100%</t>
  </si>
  <si>
    <t>Source of Signal</t>
  </si>
  <si>
    <t>Notes</t>
  </si>
  <si>
    <t>No DQ rules defined; not measured in IDQ</t>
  </si>
  <si>
    <t>≥1 DAMA dim passing IDQ thresholds</t>
  </si>
  <si>
    <t>~Half of dims pass (2-3 of 5)</t>
  </si>
  <si>
    <t>Most dims pass (4 of 5); minor thresholds missed</t>
  </si>
  <si>
    <t>All 5 DAMA dims pass IDQ thresholds</t>
  </si>
  <si>
    <t>Informatica IDQ</t>
  </si>
  <si>
    <t>Score multiplied by DQ Confidence Factor:
1.00 (Source), 0.90 (Bronze), 0.75 (Silver), 0.60 (Gold)</t>
  </si>
  <si>
    <t>No monitoring; no freshness/volume/schema tracking</t>
  </si>
  <si>
    <t>Partial monitoring (1–2 of 4 signals active)</t>
  </si>
  <si>
    <t>Monitored with known gaps; some alerts missing</t>
  </si>
  <si>
    <t>Full monitoring; minor anomalies detected &amp; resolved</t>
  </si>
  <si>
    <t>Full monitoring; all 4 signals green, no anomalies</t>
  </si>
  <si>
    <t>Informatica IDQ / Snowflake monitoring</t>
  </si>
  <si>
    <t>4 signals: Freshness/Timeliness, Volume, Schema drift, Pipeline health</t>
  </si>
  <si>
    <t>Active Issues
(P1/P2, SLA, Pipeline)</t>
  </si>
  <si>
    <t>Open P1 incident OR repeated SLA breach</t>
  </si>
  <si>
    <t>Open P2 incident under investigation</t>
  </si>
  <si>
    <t>Minor issues under investigation; no SLA breach</t>
  </si>
  <si>
    <t>Issues resolved recently; under observation period</t>
  </si>
  <si>
    <t>Zero open incidents; SLA consistently met</t>
  </si>
  <si>
    <t>IDQ / Incident Management system</t>
  </si>
  <si>
    <t>Score = 0% if any P1 open; override logic applies</t>
  </si>
  <si>
    <t>No roles assigned in APM / Collibra</t>
  </si>
  <si>
    <t>N/A</t>
  </si>
  <si>
    <t>1–2 of 3 roles assigned (Owner, Steward, or Custodian)</t>
  </si>
  <si>
    <t>All 3 roles (Owner + Steward + Custodian) assigned &amp; active</t>
  </si>
  <si>
    <t>APM / Collibra</t>
  </si>
  <si>
    <t>Only 0%, 50%, 100% bands apply for this dimension</t>
  </si>
  <si>
    <t>Source unknown; provenance undocumented</t>
  </si>
  <si>
    <t>Copied/derived from unknown lineage</t>
  </si>
  <si>
    <t>Derived from valid SoT but not documented as authoritative</t>
  </si>
  <si>
    <t>Identified as authoritative; not yet enterprise-certified</t>
  </si>
  <si>
    <t>Enterprise-Certified Source of Truth (Gold badge in Collibra)</t>
  </si>
  <si>
    <t>Collibra</t>
  </si>
  <si>
    <t>No lineage documented</t>
  </si>
  <si>
    <t>Partial lineage (table-level or segment-only)</t>
  </si>
  <si>
    <t>Substantial lineage; minor gaps or missing transforms</t>
  </si>
  <si>
    <t>Full end-to-end lineage including column-level transforms</t>
  </si>
  <si>
    <t>Only 0%, 50%, 75%, 100% bands apply</t>
  </si>
  <si>
    <t>No glossary term linked in Collibra</t>
  </si>
  <si>
    <t>Definition present in Collibra but not approved by Business</t>
  </si>
  <si>
    <t>Approved &amp; complete business definition linked in Collibra</t>
  </si>
  <si>
    <t>Only 0%, 50%, 100% bands apply</t>
  </si>
  <si>
    <t>None of 4 determinations populated</t>
  </si>
  <si>
    <t>1 of 4 determinations populated</t>
  </si>
  <si>
    <t>2 of 4 determinations populated</t>
  </si>
  <si>
    <t>3 of 4 determinations populated</t>
  </si>
  <si>
    <t>All 4 determinations populated (explicit Yes or No)</t>
  </si>
  <si>
    <t>Collibra / Security team</t>
  </si>
  <si>
    <t>Score = populated determinations ÷ 4.
4 fields: Data Classification, PII flag, Security class, SPI flag.
Explicit 'No' = full credit; blank only is penalised.</t>
  </si>
  <si>
    <t>0 teams using per catalog</t>
  </si>
  <si>
    <t>1–5 teams consuming</t>
  </si>
  <si>
    <t>5–10 teams consuming</t>
  </si>
  <si>
    <t>10+ teams actively consuming</t>
  </si>
  <si>
    <t>Data catalog usage tracking</t>
  </si>
  <si>
    <t>No feedback OR net-negative feedback</t>
  </si>
  <si>
    <t>Mixed feedback; some concerns raised</t>
  </si>
  <si>
    <t>Positive structured feedback from multiple consumer teams</t>
  </si>
  <si>
    <t>Survey results / catalog ratings</t>
  </si>
  <si>
    <t>Trust Band</t>
  </si>
  <si>
    <t>Score Range</t>
  </si>
  <si>
    <t>Meaning</t>
  </si>
  <si>
    <t>Operational Guidance</t>
  </si>
  <si>
    <t>Typical Use Cases</t>
  </si>
  <si>
    <t>Certified</t>
  </si>
  <si>
    <t>≥ 90</t>
  </si>
  <si>
    <t>All dimensions at or near full score. DQ rules active at source, full lineage, certified SoT, all governance roles filled.</t>
  </si>
  <si>
    <t>Cleared for strategic decision-making, regulatory reporting, and executive dashboards without additional caveats.</t>
  </si>
  <si>
    <t>Trusted</t>
  </si>
  <si>
    <t>75 – 89</t>
  </si>
  <si>
    <t>High confidence across most dimensions. Minor gaps in lineage, definitions, or feedback. DQ monitoring active.</t>
  </si>
  <si>
    <t>Suitable for most business use cases. Document any known gaps as data caveats.</t>
  </si>
  <si>
    <t>Developing</t>
  </si>
  <si>
    <t>60 – 74</t>
  </si>
  <si>
    <t>Moderate gaps in at least 2–3 dimensions. DQ partially measured or measured at a non-source layer. Some governance artefacts missing.</t>
  </si>
  <si>
    <t>Usable with documented caveats and business owner sign-off. Not recommended for regulatory or financial reporting.</t>
  </si>
  <si>
    <t>Provisional</t>
  </si>
  <si>
    <t>40 – 59</t>
  </si>
  <si>
    <t>Significant gaps across multiple dimensions. DQ not reliably measured; ownership or lineage incomplete; open incidents likely.</t>
  </si>
  <si>
    <t>Use with extreme caution and mandatory human review. Escalate remediation plan to Data Steward.</t>
  </si>
  <si>
    <t>At Risk</t>
  </si>
  <si>
    <t>0 – 39</t>
  </si>
  <si>
    <t>Critical gaps across most dimensions. Open P1/P2 incidents, no DQ monitoring, no ownership, undocumented source.</t>
  </si>
  <si>
    <t>Do not use for decisions without explicit risk acceptance sign-off from data owner and business sponsor.</t>
  </si>
  <si>
    <t>Data Trust Score — STG_POSITION_REPORT_VW</t>
  </si>
  <si>
    <t>DQ Measurement Layer:</t>
  </si>
  <si>
    <t>Not yet captured</t>
  </si>
  <si>
    <t>← Select layer where DQ is measured</t>
  </si>
  <si>
    <t>DQ Confidence Factor:</t>
  </si>
  <si>
    <t>Auto-calculated from layer selection above</t>
  </si>
  <si>
    <t>Pulled from Framework &amp; Weights sheet (editable there)</t>
  </si>
  <si>
    <t>Data Element</t>
  </si>
  <si>
    <t>Data Quality
(×CF)</t>
  </si>
  <si>
    <t>Data
Observability</t>
  </si>
  <si>
    <t>Active
Issues</t>
  </si>
  <si>
    <t>Authoritative
Source</t>
  </si>
  <si>
    <t>Data
Lineage</t>
  </si>
  <si>
    <t>Business
Definitions</t>
  </si>
  <si>
    <t>Classification
/Privacy/Sec</t>
  </si>
  <si>
    <t>User
Feedback</t>
  </si>
  <si>
    <t>CDE?</t>
  </si>
  <si>
    <t>Crit ×</t>
  </si>
  <si>
    <t>Element
Score /100</t>
  </si>
  <si>
    <t>Weights →</t>
  </si>
  <si>
    <t>Cost Center</t>
  </si>
  <si>
    <t>No</t>
  </si>
  <si>
    <t>Business Unit</t>
  </si>
  <si>
    <t>Company Division</t>
  </si>
  <si>
    <t>Company Code</t>
  </si>
  <si>
    <t>Direct Report Count</t>
  </si>
  <si>
    <t>Job Family</t>
  </si>
  <si>
    <t>Location Hierarchy</t>
  </si>
  <si>
    <t>Mapped S4 Cost Center Code</t>
  </si>
  <si>
    <t>P&amp;C Partner</t>
  </si>
  <si>
    <t>Primary Work Email</t>
  </si>
  <si>
    <t>Dataset Average</t>
  </si>
  <si>
    <t>Trust Band:</t>
  </si>
  <si>
    <t>Data Trust Score — STG_TRENDED_REPORT_VW</t>
  </si>
  <si>
    <t>Age</t>
  </si>
  <si>
    <t>Position ID</t>
  </si>
  <si>
    <t>Pride LGBTQ+</t>
  </si>
  <si>
    <t>Ethnicity US</t>
  </si>
  <si>
    <t>Gender</t>
  </si>
  <si>
    <t>Job Title</t>
  </si>
  <si>
    <t>Games Studio</t>
  </si>
  <si>
    <t>Direct Report Names as of Date</t>
  </si>
  <si>
    <t>Employee ID</t>
  </si>
  <si>
    <t>Generation</t>
  </si>
  <si>
    <t>Data Trust Score — Dataset Summary &amp; Comparison</t>
  </si>
  <si>
    <t>Weight</t>
  </si>
  <si>
    <t>STG_POSITION
Avg Score</t>
  </si>
  <si>
    <t>STG_TRENDED
Avg Score</t>
  </si>
  <si>
    <t>Gap (Trended
− Position)</t>
  </si>
  <si>
    <t>Data Quality (×CF)</t>
  </si>
  <si>
    <t>Data Observability</t>
  </si>
  <si>
    <t>Active Issues</t>
  </si>
  <si>
    <t>Ownership &amp; Stewardship</t>
  </si>
  <si>
    <t>Authoritative Source</t>
  </si>
  <si>
    <t>Business Definitions</t>
  </si>
  <si>
    <t>Classification/Privacy/Sec</t>
  </si>
  <si>
    <t>OVERALL DATASET SCORE</t>
  </si>
  <si>
    <t>Roadmap to Certified — Data Trust Score v2</t>
  </si>
  <si>
    <t>OPEN ITEM: Informatica IDQ, Snowflake, and Collibra are currently disconnected — automated signal ingestion is not yet active. All scores are manually assessed. Establishing end-to-end lineage to source systems is the highest-priority platform prerequisite.</t>
  </si>
  <si>
    <t>Priority</t>
  </si>
  <si>
    <t>Current State</t>
  </si>
  <si>
    <t>Target State</t>
  </si>
  <si>
    <t>Action Required</t>
  </si>
  <si>
    <t>Source System / Tool</t>
  </si>
  <si>
    <t>Data Quality (5 DAMA dims)</t>
  </si>
  <si>
    <t>No IDQ rules defined; DQ not measured</t>
  </si>
  <si>
    <t>All 5 DAMA dims passing IDQ thresholds at source</t>
  </si>
  <si>
    <t>Define IDQ rules for Completeness, Accuracy, Consistency, Validity, Uniqueness. Connect IDQ to Workday/SAP source systems.</t>
  </si>
  <si>
    <t>Informatica IDQ (disconnected — open item)</t>
  </si>
  <si>
    <t>No lineage documented in Collibra</t>
  </si>
  <si>
    <t>Full end-to-end column-level lineage</t>
  </si>
  <si>
    <t>Configure IDQ → Collibra lineage export. Map all ETL transforms from Workday/SAP → Snowflake Bronze → Silver → Gold.</t>
  </si>
  <si>
    <t>Collibra / Informatica IDQ (disconnected — open item)</t>
  </si>
  <si>
    <t>No monitoring on freshness, volume, schema, or pipeline</t>
  </si>
  <si>
    <t>All 4 signals monitored with automated alerting</t>
  </si>
  <si>
    <t>Implement Snowflake monitoring for freshness/volume; configure schema change alerting; set up pipeline health dashboards in IDQ.</t>
  </si>
  <si>
    <t>Informatica IDQ / Snowflake (disconnected — open item)</t>
  </si>
  <si>
    <t>Classification, Privacy &amp; Security</t>
  </si>
  <si>
    <t>Partial determinations; many fields blank</t>
  </si>
  <si>
    <t>All 4 determinations (Classification, PII, Security, SPI) populated for every element</t>
  </si>
  <si>
    <t>Conduct classification review workshop with Security and Privacy teams. Populate all fields in Collibra. Explicit 'No' counts as full credit.</t>
  </si>
  <si>
    <t>Partial: no Custodian assigned for most elements</t>
  </si>
  <si>
    <t>All 3 roles (Owner + Steward + Custodian) assigned and active</t>
  </si>
  <si>
    <t>Assign IT Custodian role for each dataset. Update APM and Collibra. Confirm roles with HR Data Governance team.</t>
  </si>
  <si>
    <t>Authoritative Source &amp; Certification</t>
  </si>
  <si>
    <t>Identified as derived from valid SoT but not certified</t>
  </si>
  <si>
    <t>Enterprise-Certified Source of Truth (Gold badge)</t>
  </si>
  <si>
    <t>Submit datasets for enterprise certification review. Document provenance in Collibra. Engage Data Governance Council for sign-off.</t>
  </si>
  <si>
    <t>Business Definitions / Glossary</t>
  </si>
  <si>
    <t>Definitions present for some elements but not approved</t>
  </si>
  <si>
    <t>Approved &amp; complete definitions for all key elements</t>
  </si>
  <si>
    <t>Review and approve draft definitions with P&amp;C business stakeholders. Link approved glossary terms to all data elements in Collibra.</t>
  </si>
  <si>
    <t>No active incident tracking tied to data assets</t>
  </si>
  <si>
    <t>Zero open incidents; SLA met; incident tracking connected to catalog</t>
  </si>
  <si>
    <t>Integrate incident management system with Collibra/catalog. Define SLA thresholds for data freshness and pipeline failure.</t>
  </si>
  <si>
    <t>0 teams tracked in catalog</t>
  </si>
  <si>
    <t>5–10+ teams actively consuming; usage tracked</t>
  </si>
  <si>
    <t>Enable catalog usage tracking. Promote datasets to P&amp;C, Finance, and Analytics teams. Register consuming workflows in catalog.</t>
  </si>
  <si>
    <t>Data catalog (Collibra)</t>
  </si>
  <si>
    <t>No structured feedback mechanism</t>
  </si>
  <si>
    <t>Positive structured feedback from multiple teams</t>
  </si>
  <si>
    <t>Implement catalog feedback/rating feature. Conduct data quality survey with top consumers. Publish results quarterly.</t>
  </si>
  <si>
    <t>Survey / Collibra catalog 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</si>
</sst>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595959"/>
      <name val="Arial"/>
      <family val="2"/>
    </font>
    <font>
      <b/>
      <sz val="13"/>
      <color rgb="FFFFFFFF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b/>
      <sz val="11"/>
      <color rgb="FF000000"/>
      <name val="Arial"/>
      <family val="2"/>
    </font>
    <font>
      <i/>
      <sz val="9"/>
      <color rgb="FF595959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b/>
      <sz val="11"/>
      <name val="Arial"/>
      <family val="2"/>
    </font>
    <font>
      <b/>
      <i/>
      <sz val="10"/>
      <color rgb="FF1F4E79"/>
      <name val="Arial"/>
      <family val="2"/>
    </font>
    <font>
      <b/>
      <sz val="12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b/>
      <i/>
      <sz val="10"/>
      <color rgb="FFC00000"/>
      <name val="Arial"/>
      <family val="2"/>
    </font>
    <font>
      <i/>
      <sz val="9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CC00"/>
      </patternFill>
    </fill>
    <fill>
      <patternFill patternType="solid">
        <fgColor rgb="FFFFFFFF"/>
        <bgColor rgb="FFFFFACD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DEEAF1"/>
        <bgColor rgb="FFE2EFDA"/>
      </patternFill>
    </fill>
    <fill>
      <patternFill patternType="solid">
        <fgColor rgb="FFE2C4E8"/>
        <bgColor rgb="FFD9D9D9"/>
      </patternFill>
    </fill>
    <fill>
      <patternFill patternType="solid">
        <fgColor rgb="FFD9D9D9"/>
        <bgColor rgb="FFDEEAF1"/>
      </patternFill>
    </fill>
    <fill>
      <patternFill patternType="solid">
        <fgColor rgb="FFBDD7EE"/>
        <bgColor rgb="FFD9D9D9"/>
      </patternFill>
    </fill>
    <fill>
      <patternFill patternType="solid">
        <fgColor rgb="FFFFFACD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92D050"/>
        <bgColor rgb="FF969696"/>
      </patternFill>
    </fill>
    <fill>
      <patternFill patternType="solid">
        <fgColor rgb="FFFFEB9C"/>
        <bgColor rgb="FFFFF2CC"/>
      </patternFill>
    </fill>
    <fill>
      <patternFill patternType="solid">
        <fgColor rgb="FFFFCC99"/>
        <bgColor rgb="FFFFEB9C"/>
      </patternFill>
    </fill>
    <fill>
      <patternFill patternType="solid">
        <fgColor rgb="FFFF7575"/>
        <bgColor rgb="FFFF6600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FFACD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11" fillId="0" borderId="1" xfId="0" applyFont="1" applyBorder="1"/>
    <xf numFmtId="0" fontId="0" fillId="0" borderId="1" xfId="0" applyBorder="1"/>
    <xf numFmtId="0" fontId="11" fillId="10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1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top" wrapText="1"/>
    </xf>
    <xf numFmtId="0" fontId="13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top" wrapText="1"/>
    </xf>
    <xf numFmtId="0" fontId="13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top" wrapText="1"/>
    </xf>
    <xf numFmtId="0" fontId="13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top" wrapText="1"/>
    </xf>
    <xf numFmtId="0" fontId="13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top" wrapText="1"/>
    </xf>
    <xf numFmtId="2" fontId="9" fillId="10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right" vertical="center"/>
    </xf>
    <xf numFmtId="0" fontId="15" fillId="17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2" fontId="4" fillId="10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 wrapText="1"/>
    </xf>
    <xf numFmtId="2" fontId="6" fillId="10" borderId="1" xfId="0" applyNumberFormat="1" applyFont="1" applyFill="1" applyBorder="1" applyAlignment="1">
      <alignment horizontal="center" vertical="center"/>
    </xf>
    <xf numFmtId="0" fontId="0" fillId="17" borderId="1" xfId="0" applyFill="1" applyBorder="1"/>
    <xf numFmtId="164" fontId="11" fillId="1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4" fontId="13" fillId="10" borderId="1" xfId="0" applyNumberFormat="1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top" wrapText="1"/>
    </xf>
    <xf numFmtId="0" fontId="10" fillId="16" borderId="1" xfId="0" applyFont="1" applyFill="1" applyBorder="1" applyAlignment="1">
      <alignment horizontal="left" vertical="top" wrapText="1"/>
    </xf>
    <xf numFmtId="0" fontId="10" fillId="12" borderId="1" xfId="0" applyFont="1" applyFill="1" applyBorder="1" applyAlignment="1">
      <alignment horizontal="left" vertical="top" wrapText="1"/>
    </xf>
    <xf numFmtId="0" fontId="18" fillId="7" borderId="1" xfId="0" applyFont="1" applyFill="1" applyBorder="1" applyAlignment="1">
      <alignment horizontal="left" vertical="top" wrapText="1"/>
    </xf>
    <xf numFmtId="0" fontId="10" fillId="15" borderId="1" xfId="0" applyFont="1" applyFill="1" applyBorder="1" applyAlignment="1">
      <alignment horizontal="left" vertical="top" wrapText="1"/>
    </xf>
    <xf numFmtId="0" fontId="10" fillId="14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/>
    <xf numFmtId="0" fontId="3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0" xfId="0" applyFont="1"/>
    <xf numFmtId="0" fontId="12" fillId="0" borderId="0" xfId="0" applyFont="1"/>
    <xf numFmtId="0" fontId="6" fillId="0" borderId="0" xfId="0" applyFont="1" applyAlignment="1">
      <alignment horizontal="right" vertical="center"/>
    </xf>
    <xf numFmtId="0" fontId="14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5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7" fillId="18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2C4E8"/>
      <rgbColor rgb="FF808080"/>
      <rgbColor rgb="FF9999FF"/>
      <rgbColor rgb="FF993366"/>
      <rgbColor rgb="FFFFFACD"/>
      <rgbColor rgb="FFDEEAF1"/>
      <rgbColor rgb="FF660066"/>
      <rgbColor rgb="FFFF7575"/>
      <rgbColor rgb="FF0066CC"/>
      <rgbColor rgb="FFBDD7EE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9D9D9"/>
      <rgbColor rgb="FFFCE4D6"/>
      <rgbColor rgb="FFCC99FF"/>
      <rgbColor rgb="FFFFCC99"/>
      <rgbColor rgb="FF2E75B6"/>
      <rgbColor rgb="FF33CCCC"/>
      <rgbColor rgb="FF92D05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showGridLines="0" zoomScaleNormal="100" workbookViewId="0">
      <selection sqref="A1:D1"/>
    </sheetView>
  </sheetViews>
  <sheetFormatPr baseColWidth="10" defaultColWidth="8.6640625" defaultRowHeight="15" x14ac:dyDescent="0.2"/>
  <cols>
    <col min="1" max="1" width="20" customWidth="1"/>
    <col min="2" max="4" width="25" customWidth="1"/>
  </cols>
  <sheetData>
    <row r="1" spans="1:4" ht="30" customHeight="1" x14ac:dyDescent="0.2">
      <c r="A1" s="76" t="s">
        <v>0</v>
      </c>
      <c r="B1" s="74"/>
      <c r="C1" s="74"/>
      <c r="D1" s="74"/>
    </row>
    <row r="2" spans="1:4" ht="18" customHeight="1" x14ac:dyDescent="0.2">
      <c r="A2" s="77" t="s">
        <v>1</v>
      </c>
      <c r="B2" s="74"/>
      <c r="C2" s="74"/>
      <c r="D2" s="74"/>
    </row>
    <row r="4" spans="1:4" ht="21.75" customHeight="1" x14ac:dyDescent="0.2">
      <c r="A4" s="75" t="s">
        <v>2</v>
      </c>
      <c r="B4" s="74"/>
      <c r="C4" s="74"/>
      <c r="D4" s="74"/>
    </row>
    <row r="5" spans="1:4" ht="70.5" customHeight="1" x14ac:dyDescent="0.2">
      <c r="A5" s="73" t="s">
        <v>3</v>
      </c>
      <c r="B5" s="74"/>
      <c r="C5" s="74"/>
      <c r="D5" s="74"/>
    </row>
    <row r="6" spans="1:4" ht="70.5" customHeight="1" x14ac:dyDescent="0.2">
      <c r="A6" s="73" t="s">
        <v>4</v>
      </c>
      <c r="B6" s="74"/>
      <c r="C6" s="74"/>
      <c r="D6" s="74"/>
    </row>
    <row r="8" spans="1:4" ht="21.75" customHeight="1" x14ac:dyDescent="0.2">
      <c r="A8" s="75" t="s">
        <v>5</v>
      </c>
      <c r="B8" s="74"/>
      <c r="C8" s="74"/>
      <c r="D8" s="74"/>
    </row>
    <row r="9" spans="1:4" ht="42.75" customHeight="1" x14ac:dyDescent="0.2">
      <c r="A9" s="73" t="s">
        <v>6</v>
      </c>
      <c r="B9" s="74"/>
      <c r="C9" s="74"/>
      <c r="D9" s="74"/>
    </row>
    <row r="10" spans="1:4" ht="28.5" customHeight="1" x14ac:dyDescent="0.2">
      <c r="A10" s="73" t="s">
        <v>7</v>
      </c>
      <c r="B10" s="74"/>
      <c r="C10" s="74"/>
      <c r="D10" s="74"/>
    </row>
    <row r="11" spans="1:4" ht="28.5" customHeight="1" x14ac:dyDescent="0.2">
      <c r="A11" s="73" t="s">
        <v>8</v>
      </c>
      <c r="B11" s="74"/>
      <c r="C11" s="74"/>
      <c r="D11" s="74"/>
    </row>
    <row r="12" spans="1:4" ht="15" customHeight="1" x14ac:dyDescent="0.2">
      <c r="A12" s="73" t="s">
        <v>9</v>
      </c>
      <c r="B12" s="74"/>
      <c r="C12" s="74"/>
      <c r="D12" s="74"/>
    </row>
    <row r="14" spans="1:4" ht="21.75" customHeight="1" x14ac:dyDescent="0.2">
      <c r="A14" s="75" t="s">
        <v>10</v>
      </c>
      <c r="B14" s="74"/>
      <c r="C14" s="74"/>
      <c r="D14" s="74"/>
    </row>
    <row r="15" spans="1:4" ht="57" customHeight="1" x14ac:dyDescent="0.2">
      <c r="A15" s="73" t="s">
        <v>11</v>
      </c>
      <c r="B15" s="74"/>
      <c r="C15" s="74"/>
      <c r="D15" s="74"/>
    </row>
    <row r="16" spans="1:4" ht="15" customHeight="1" x14ac:dyDescent="0.2">
      <c r="A16" s="73" t="s">
        <v>12</v>
      </c>
      <c r="B16" s="74"/>
      <c r="C16" s="74"/>
      <c r="D16" s="74"/>
    </row>
    <row r="17" spans="1:4" ht="15" customHeight="1" x14ac:dyDescent="0.2">
      <c r="A17" s="73" t="s">
        <v>13</v>
      </c>
      <c r="B17" s="74"/>
      <c r="C17" s="74"/>
      <c r="D17" s="74"/>
    </row>
    <row r="18" spans="1:4" ht="15" customHeight="1" x14ac:dyDescent="0.2">
      <c r="A18" s="73" t="s">
        <v>14</v>
      </c>
      <c r="B18" s="74"/>
      <c r="C18" s="74"/>
      <c r="D18" s="74"/>
    </row>
    <row r="19" spans="1:4" ht="15" customHeight="1" x14ac:dyDescent="0.2">
      <c r="A19" s="73" t="s">
        <v>15</v>
      </c>
      <c r="B19" s="74"/>
      <c r="C19" s="74"/>
      <c r="D19" s="74"/>
    </row>
    <row r="20" spans="1:4" ht="15" customHeight="1" x14ac:dyDescent="0.2">
      <c r="A20" s="73" t="s">
        <v>16</v>
      </c>
      <c r="B20" s="74"/>
      <c r="C20" s="74"/>
      <c r="D20" s="74"/>
    </row>
    <row r="21" spans="1:4" ht="15" customHeight="1" x14ac:dyDescent="0.2">
      <c r="A21" s="73" t="s">
        <v>17</v>
      </c>
      <c r="B21" s="74"/>
      <c r="C21" s="74"/>
      <c r="D21" s="74"/>
    </row>
    <row r="22" spans="1:4" ht="57" customHeight="1" x14ac:dyDescent="0.2">
      <c r="A22" s="73" t="s">
        <v>18</v>
      </c>
      <c r="B22" s="74"/>
      <c r="C22" s="74"/>
      <c r="D22" s="74"/>
    </row>
    <row r="24" spans="1:4" ht="21.75" customHeight="1" x14ac:dyDescent="0.2">
      <c r="A24" s="75" t="s">
        <v>19</v>
      </c>
      <c r="B24" s="74"/>
      <c r="C24" s="74"/>
      <c r="D24" s="74"/>
    </row>
    <row r="25" spans="1:4" ht="15" customHeight="1" x14ac:dyDescent="0.2">
      <c r="A25" s="73" t="s">
        <v>20</v>
      </c>
      <c r="B25" s="74"/>
      <c r="C25" s="74"/>
      <c r="D25" s="74"/>
    </row>
    <row r="26" spans="1:4" ht="15" customHeight="1" x14ac:dyDescent="0.2">
      <c r="A26" s="73" t="s">
        <v>21</v>
      </c>
      <c r="B26" s="74"/>
      <c r="C26" s="74"/>
      <c r="D26" s="74"/>
    </row>
    <row r="27" spans="1:4" ht="15" customHeight="1" x14ac:dyDescent="0.2">
      <c r="A27" s="73" t="s">
        <v>22</v>
      </c>
      <c r="B27" s="74"/>
      <c r="C27" s="74"/>
      <c r="D27" s="74"/>
    </row>
    <row r="28" spans="1:4" ht="15" customHeight="1" x14ac:dyDescent="0.2">
      <c r="A28" s="73" t="s">
        <v>23</v>
      </c>
      <c r="B28" s="74"/>
      <c r="C28" s="74"/>
      <c r="D28" s="74"/>
    </row>
    <row r="29" spans="1:4" ht="15" customHeight="1" x14ac:dyDescent="0.2">
      <c r="A29" s="73" t="s">
        <v>24</v>
      </c>
      <c r="B29" s="74"/>
      <c r="C29" s="74"/>
      <c r="D29" s="74"/>
    </row>
    <row r="31" spans="1:4" ht="21.75" customHeight="1" x14ac:dyDescent="0.2">
      <c r="A31" s="75" t="s">
        <v>25</v>
      </c>
      <c r="B31" s="74"/>
      <c r="C31" s="74"/>
      <c r="D31" s="74"/>
    </row>
    <row r="32" spans="1:4" ht="28.5" customHeight="1" x14ac:dyDescent="0.2">
      <c r="A32" s="73" t="s">
        <v>26</v>
      </c>
      <c r="B32" s="74"/>
      <c r="C32" s="74"/>
      <c r="D32" s="74"/>
    </row>
    <row r="33" spans="1:4" ht="28.5" customHeight="1" x14ac:dyDescent="0.2">
      <c r="A33" s="73" t="s">
        <v>27</v>
      </c>
      <c r="B33" s="74"/>
      <c r="C33" s="74"/>
      <c r="D33" s="74"/>
    </row>
    <row r="34" spans="1:4" ht="15" customHeight="1" x14ac:dyDescent="0.2">
      <c r="A34" s="73" t="s">
        <v>28</v>
      </c>
      <c r="B34" s="74"/>
      <c r="C34" s="74"/>
      <c r="D34" s="74"/>
    </row>
    <row r="35" spans="1:4" ht="28.5" customHeight="1" x14ac:dyDescent="0.2">
      <c r="A35" s="73" t="s">
        <v>29</v>
      </c>
      <c r="B35" s="74"/>
      <c r="C35" s="74"/>
      <c r="D35" s="74"/>
    </row>
    <row r="36" spans="1:4" ht="28.5" customHeight="1" x14ac:dyDescent="0.2">
      <c r="A36" s="73" t="s">
        <v>30</v>
      </c>
      <c r="B36" s="74"/>
      <c r="C36" s="74"/>
      <c r="D36" s="74"/>
    </row>
    <row r="37" spans="1:4" ht="15" customHeight="1" x14ac:dyDescent="0.2">
      <c r="A37" s="73" t="s">
        <v>31</v>
      </c>
      <c r="B37" s="74"/>
      <c r="C37" s="74"/>
      <c r="D37" s="74"/>
    </row>
  </sheetData>
  <mergeCells count="32">
    <mergeCell ref="A37:D37"/>
    <mergeCell ref="A18:D18"/>
    <mergeCell ref="A27:D27"/>
    <mergeCell ref="A12:D12"/>
    <mergeCell ref="A26:D26"/>
    <mergeCell ref="A21:D21"/>
    <mergeCell ref="A33:D33"/>
    <mergeCell ref="A32:D32"/>
    <mergeCell ref="A14:D14"/>
    <mergeCell ref="A36:D36"/>
    <mergeCell ref="A1:D1"/>
    <mergeCell ref="A6:D6"/>
    <mergeCell ref="A25:D25"/>
    <mergeCell ref="A16:D16"/>
    <mergeCell ref="A2:D2"/>
    <mergeCell ref="A4:D4"/>
    <mergeCell ref="A20:D20"/>
    <mergeCell ref="A29:D29"/>
    <mergeCell ref="A19:D19"/>
    <mergeCell ref="A10:D10"/>
    <mergeCell ref="A28:D28"/>
    <mergeCell ref="A9:D9"/>
    <mergeCell ref="A15:D15"/>
    <mergeCell ref="A24:D24"/>
    <mergeCell ref="A11:D11"/>
    <mergeCell ref="A5:D5"/>
    <mergeCell ref="A17:D17"/>
    <mergeCell ref="A8:D8"/>
    <mergeCell ref="A22:D22"/>
    <mergeCell ref="A35:D35"/>
    <mergeCell ref="A31:D31"/>
    <mergeCell ref="A34:D3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showGridLines="0" zoomScaleNormal="100" workbookViewId="0"/>
  </sheetViews>
  <sheetFormatPr baseColWidth="10" defaultColWidth="8.6640625" defaultRowHeight="15" x14ac:dyDescent="0.2"/>
  <cols>
    <col min="1" max="1" width="5" customWidth="1"/>
    <col min="2" max="2" width="22" customWidth="1"/>
    <col min="3" max="3" width="12" customWidth="1"/>
    <col min="4" max="4" width="14" customWidth="1"/>
    <col min="5" max="5" width="10" customWidth="1"/>
    <col min="6" max="6" width="42" customWidth="1"/>
    <col min="7" max="7" width="32" customWidth="1"/>
    <col min="8" max="8" width="42" customWidth="1"/>
  </cols>
  <sheetData>
    <row r="1" spans="1:8" ht="34.5" customHeight="1" x14ac:dyDescent="0.2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8" customHeight="1" x14ac:dyDescent="0.2">
      <c r="A2" s="2" t="s">
        <v>40</v>
      </c>
      <c r="B2" s="3">
        <v>2</v>
      </c>
      <c r="C2" s="78" t="s">
        <v>41</v>
      </c>
      <c r="D2" s="74"/>
      <c r="E2" s="74"/>
      <c r="F2" s="74"/>
      <c r="G2" s="74"/>
      <c r="H2" s="74"/>
    </row>
    <row r="3" spans="1:8" ht="75" customHeight="1" x14ac:dyDescent="0.2">
      <c r="A3" s="4">
        <v>1</v>
      </c>
      <c r="B3" s="5" t="s">
        <v>42</v>
      </c>
      <c r="C3" s="6" t="s">
        <v>43</v>
      </c>
      <c r="D3" s="7" t="s">
        <v>44</v>
      </c>
      <c r="E3" s="8">
        <v>22</v>
      </c>
      <c r="F3" s="5" t="s">
        <v>45</v>
      </c>
      <c r="G3" s="5" t="s">
        <v>46</v>
      </c>
      <c r="H3" s="9" t="s">
        <v>47</v>
      </c>
    </row>
    <row r="4" spans="1:8" ht="75" customHeight="1" x14ac:dyDescent="0.2">
      <c r="A4" s="4">
        <v>2</v>
      </c>
      <c r="B4" s="5" t="s">
        <v>48</v>
      </c>
      <c r="C4" s="6" t="s">
        <v>49</v>
      </c>
      <c r="D4" s="7" t="s">
        <v>44</v>
      </c>
      <c r="E4" s="8">
        <v>12</v>
      </c>
      <c r="F4" s="5" t="s">
        <v>50</v>
      </c>
      <c r="G4" s="5" t="s">
        <v>51</v>
      </c>
      <c r="H4" s="9" t="s">
        <v>52</v>
      </c>
    </row>
    <row r="5" spans="1:8" ht="75" customHeight="1" x14ac:dyDescent="0.2">
      <c r="A5" s="4">
        <v>3</v>
      </c>
      <c r="B5" s="5" t="s">
        <v>53</v>
      </c>
      <c r="C5" s="6" t="s">
        <v>49</v>
      </c>
      <c r="D5" s="7" t="s">
        <v>44</v>
      </c>
      <c r="E5" s="8">
        <v>5</v>
      </c>
      <c r="F5" s="5" t="s">
        <v>54</v>
      </c>
      <c r="G5" s="5" t="s">
        <v>55</v>
      </c>
      <c r="H5" s="9" t="s">
        <v>56</v>
      </c>
    </row>
    <row r="6" spans="1:8" ht="75" customHeight="1" x14ac:dyDescent="0.2">
      <c r="A6" s="4">
        <v>4</v>
      </c>
      <c r="B6" s="5" t="s">
        <v>57</v>
      </c>
      <c r="C6" s="6" t="s">
        <v>58</v>
      </c>
      <c r="D6" s="10" t="s">
        <v>59</v>
      </c>
      <c r="E6" s="8">
        <v>12</v>
      </c>
      <c r="F6" s="5" t="s">
        <v>60</v>
      </c>
      <c r="G6" s="5" t="s">
        <v>61</v>
      </c>
      <c r="H6" s="9" t="s">
        <v>62</v>
      </c>
    </row>
    <row r="7" spans="1:8" ht="75" customHeight="1" x14ac:dyDescent="0.2">
      <c r="A7" s="4">
        <v>5</v>
      </c>
      <c r="B7" s="5" t="s">
        <v>63</v>
      </c>
      <c r="C7" s="6" t="s">
        <v>58</v>
      </c>
      <c r="D7" s="10" t="s">
        <v>59</v>
      </c>
      <c r="E7" s="8">
        <v>10</v>
      </c>
      <c r="F7" s="5" t="s">
        <v>64</v>
      </c>
      <c r="G7" s="5" t="s">
        <v>65</v>
      </c>
      <c r="H7" s="9" t="s">
        <v>66</v>
      </c>
    </row>
    <row r="8" spans="1:8" ht="75" customHeight="1" x14ac:dyDescent="0.2">
      <c r="A8" s="4">
        <v>6</v>
      </c>
      <c r="B8" s="5" t="s">
        <v>67</v>
      </c>
      <c r="C8" s="6" t="s">
        <v>49</v>
      </c>
      <c r="D8" s="10" t="s">
        <v>59</v>
      </c>
      <c r="E8" s="8">
        <v>10</v>
      </c>
      <c r="F8" s="5" t="s">
        <v>68</v>
      </c>
      <c r="G8" s="5" t="s">
        <v>69</v>
      </c>
      <c r="H8" s="9" t="s">
        <v>70</v>
      </c>
    </row>
    <row r="9" spans="1:8" ht="75" customHeight="1" x14ac:dyDescent="0.2">
      <c r="A9" s="4">
        <v>7</v>
      </c>
      <c r="B9" s="5" t="s">
        <v>71</v>
      </c>
      <c r="C9" s="6" t="s">
        <v>43</v>
      </c>
      <c r="D9" s="11" t="s">
        <v>72</v>
      </c>
      <c r="E9" s="8">
        <v>9</v>
      </c>
      <c r="F9" s="5" t="s">
        <v>73</v>
      </c>
      <c r="G9" s="5" t="s">
        <v>74</v>
      </c>
      <c r="H9" s="9" t="s">
        <v>75</v>
      </c>
    </row>
    <row r="10" spans="1:8" ht="75" customHeight="1" x14ac:dyDescent="0.2">
      <c r="A10" s="4">
        <v>8</v>
      </c>
      <c r="B10" s="5" t="s">
        <v>76</v>
      </c>
      <c r="C10" s="6" t="s">
        <v>58</v>
      </c>
      <c r="D10" s="12" t="s">
        <v>77</v>
      </c>
      <c r="E10" s="8">
        <v>12</v>
      </c>
      <c r="F10" s="5" t="s">
        <v>78</v>
      </c>
      <c r="G10" s="5" t="s">
        <v>79</v>
      </c>
      <c r="H10" s="9" t="s">
        <v>80</v>
      </c>
    </row>
    <row r="11" spans="1:8" ht="75" customHeight="1" x14ac:dyDescent="0.2">
      <c r="A11" s="4">
        <v>9</v>
      </c>
      <c r="B11" s="5" t="s">
        <v>81</v>
      </c>
      <c r="C11" s="6" t="s">
        <v>58</v>
      </c>
      <c r="D11" s="13" t="s">
        <v>82</v>
      </c>
      <c r="E11" s="8">
        <v>5</v>
      </c>
      <c r="F11" s="5" t="s">
        <v>83</v>
      </c>
      <c r="G11" s="5" t="s">
        <v>84</v>
      </c>
      <c r="H11" s="9" t="s">
        <v>85</v>
      </c>
    </row>
    <row r="12" spans="1:8" ht="75" customHeight="1" x14ac:dyDescent="0.2">
      <c r="A12" s="4">
        <v>10</v>
      </c>
      <c r="B12" s="5" t="s">
        <v>86</v>
      </c>
      <c r="C12" s="6" t="s">
        <v>43</v>
      </c>
      <c r="D12" s="13" t="s">
        <v>82</v>
      </c>
      <c r="E12" s="8">
        <v>3</v>
      </c>
      <c r="F12" s="5" t="s">
        <v>87</v>
      </c>
      <c r="G12" s="5" t="s">
        <v>88</v>
      </c>
      <c r="H12" s="9" t="s">
        <v>89</v>
      </c>
    </row>
    <row r="13" spans="1:8" ht="15" customHeight="1" x14ac:dyDescent="0.2">
      <c r="A13" s="14"/>
      <c r="B13" s="15" t="s">
        <v>90</v>
      </c>
      <c r="C13" s="16"/>
      <c r="D13" s="16"/>
      <c r="E13" s="17">
        <f>SUM(E3:E12)</f>
        <v>100</v>
      </c>
      <c r="F13" s="16"/>
      <c r="G13" s="16"/>
      <c r="H13" s="16"/>
    </row>
    <row r="15" spans="1:8" ht="15" customHeight="1" x14ac:dyDescent="0.2">
      <c r="A15" s="79" t="s">
        <v>91</v>
      </c>
      <c r="B15" s="74"/>
      <c r="C15" s="74"/>
      <c r="D15" s="74"/>
      <c r="E15" s="74"/>
      <c r="F15" s="74"/>
      <c r="G15" s="74"/>
      <c r="H15" s="74"/>
    </row>
  </sheetData>
  <mergeCells count="2">
    <mergeCell ref="C2:H2"/>
    <mergeCell ref="A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showGridLines="0" topLeftCell="A5" zoomScale="160" zoomScaleNormal="160" workbookViewId="0"/>
  </sheetViews>
  <sheetFormatPr baseColWidth="10" defaultColWidth="8.6640625" defaultRowHeight="15" x14ac:dyDescent="0.2"/>
  <cols>
    <col min="1" max="1" width="22" customWidth="1"/>
    <col min="2" max="7" width="26" customWidth="1"/>
    <col min="8" max="8" width="36" customWidth="1"/>
  </cols>
  <sheetData>
    <row r="1" spans="1:8" ht="30" customHeight="1" x14ac:dyDescent="0.2">
      <c r="A1" s="1" t="s">
        <v>33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</row>
    <row r="2" spans="1:8" ht="60" customHeight="1" x14ac:dyDescent="0.2">
      <c r="A2" s="18" t="s">
        <v>42</v>
      </c>
      <c r="B2" s="5" t="s">
        <v>99</v>
      </c>
      <c r="C2" s="5" t="s">
        <v>100</v>
      </c>
      <c r="D2" s="5" t="s">
        <v>101</v>
      </c>
      <c r="E2" s="5" t="s">
        <v>102</v>
      </c>
      <c r="F2" s="5" t="s">
        <v>103</v>
      </c>
      <c r="G2" s="19" t="s">
        <v>104</v>
      </c>
      <c r="H2" s="20" t="s">
        <v>105</v>
      </c>
    </row>
    <row r="3" spans="1:8" ht="60" customHeight="1" x14ac:dyDescent="0.2">
      <c r="A3" s="18" t="s">
        <v>48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19" t="s">
        <v>111</v>
      </c>
      <c r="H3" s="20" t="s">
        <v>112</v>
      </c>
    </row>
    <row r="4" spans="1:8" ht="60" customHeight="1" x14ac:dyDescent="0.2">
      <c r="A4" s="18" t="s">
        <v>113</v>
      </c>
      <c r="B4" s="5" t="s">
        <v>114</v>
      </c>
      <c r="C4" s="5" t="s">
        <v>115</v>
      </c>
      <c r="D4" s="5" t="s">
        <v>116</v>
      </c>
      <c r="E4" s="5" t="s">
        <v>117</v>
      </c>
      <c r="F4" s="5" t="s">
        <v>118</v>
      </c>
      <c r="G4" s="19" t="s">
        <v>119</v>
      </c>
      <c r="H4" s="20" t="s">
        <v>120</v>
      </c>
    </row>
    <row r="5" spans="1:8" ht="60" customHeight="1" x14ac:dyDescent="0.2">
      <c r="A5" s="21" t="s">
        <v>57</v>
      </c>
      <c r="B5" s="5" t="s">
        <v>121</v>
      </c>
      <c r="C5" s="5" t="s">
        <v>122</v>
      </c>
      <c r="D5" s="5" t="s">
        <v>123</v>
      </c>
      <c r="E5" s="5" t="s">
        <v>122</v>
      </c>
      <c r="F5" s="5" t="s">
        <v>124</v>
      </c>
      <c r="G5" s="19" t="s">
        <v>125</v>
      </c>
      <c r="H5" s="20" t="s">
        <v>126</v>
      </c>
    </row>
    <row r="6" spans="1:8" ht="60" customHeight="1" x14ac:dyDescent="0.2">
      <c r="A6" s="21" t="s">
        <v>63</v>
      </c>
      <c r="B6" s="5" t="s">
        <v>127</v>
      </c>
      <c r="C6" s="5" t="s">
        <v>128</v>
      </c>
      <c r="D6" s="5" t="s">
        <v>129</v>
      </c>
      <c r="E6" s="5" t="s">
        <v>130</v>
      </c>
      <c r="F6" s="5" t="s">
        <v>131</v>
      </c>
      <c r="G6" s="19" t="s">
        <v>132</v>
      </c>
      <c r="H6" s="20"/>
    </row>
    <row r="7" spans="1:8" ht="60" customHeight="1" x14ac:dyDescent="0.2">
      <c r="A7" s="21" t="s">
        <v>67</v>
      </c>
      <c r="B7" s="5" t="s">
        <v>133</v>
      </c>
      <c r="C7" s="5" t="s">
        <v>122</v>
      </c>
      <c r="D7" s="5" t="s">
        <v>134</v>
      </c>
      <c r="E7" s="5" t="s">
        <v>135</v>
      </c>
      <c r="F7" s="5" t="s">
        <v>136</v>
      </c>
      <c r="G7" s="19" t="s">
        <v>132</v>
      </c>
      <c r="H7" s="20" t="s">
        <v>137</v>
      </c>
    </row>
    <row r="8" spans="1:8" ht="60" customHeight="1" x14ac:dyDescent="0.2">
      <c r="A8" s="19" t="s">
        <v>71</v>
      </c>
      <c r="B8" s="5" t="s">
        <v>138</v>
      </c>
      <c r="C8" s="5" t="s">
        <v>122</v>
      </c>
      <c r="D8" s="5" t="s">
        <v>139</v>
      </c>
      <c r="E8" s="5" t="s">
        <v>122</v>
      </c>
      <c r="F8" s="5" t="s">
        <v>140</v>
      </c>
      <c r="G8" s="19" t="s">
        <v>132</v>
      </c>
      <c r="H8" s="20" t="s">
        <v>141</v>
      </c>
    </row>
    <row r="9" spans="1:8" ht="60" customHeight="1" x14ac:dyDescent="0.2">
      <c r="A9" s="22" t="s">
        <v>76</v>
      </c>
      <c r="B9" s="5" t="s">
        <v>142</v>
      </c>
      <c r="C9" s="5" t="s">
        <v>143</v>
      </c>
      <c r="D9" s="5" t="s">
        <v>144</v>
      </c>
      <c r="E9" s="5" t="s">
        <v>145</v>
      </c>
      <c r="F9" s="5" t="s">
        <v>146</v>
      </c>
      <c r="G9" s="19" t="s">
        <v>147</v>
      </c>
      <c r="H9" s="20" t="s">
        <v>148</v>
      </c>
    </row>
    <row r="10" spans="1:8" ht="60" customHeight="1" x14ac:dyDescent="0.2">
      <c r="A10" s="23" t="s">
        <v>81</v>
      </c>
      <c r="B10" s="5" t="s">
        <v>149</v>
      </c>
      <c r="C10" s="5" t="s">
        <v>122</v>
      </c>
      <c r="D10" s="5" t="s">
        <v>150</v>
      </c>
      <c r="E10" s="5" t="s">
        <v>151</v>
      </c>
      <c r="F10" s="5" t="s">
        <v>152</v>
      </c>
      <c r="G10" s="19" t="s">
        <v>153</v>
      </c>
      <c r="H10" s="20"/>
    </row>
    <row r="11" spans="1:8" ht="60" customHeight="1" x14ac:dyDescent="0.2">
      <c r="A11" s="23" t="s">
        <v>86</v>
      </c>
      <c r="B11" s="5" t="s">
        <v>154</v>
      </c>
      <c r="C11" s="5" t="s">
        <v>122</v>
      </c>
      <c r="D11" s="5" t="s">
        <v>155</v>
      </c>
      <c r="E11" s="5" t="s">
        <v>122</v>
      </c>
      <c r="F11" s="5" t="s">
        <v>156</v>
      </c>
      <c r="G11" s="19" t="s">
        <v>157</v>
      </c>
      <c r="H11" s="20" t="s">
        <v>141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showGridLines="0" zoomScaleNormal="100" workbookViewId="0"/>
  </sheetViews>
  <sheetFormatPr baseColWidth="10" defaultColWidth="8.6640625" defaultRowHeight="15" x14ac:dyDescent="0.2"/>
  <cols>
    <col min="1" max="1" width="16" customWidth="1"/>
    <col min="2" max="2" width="14" customWidth="1"/>
    <col min="3" max="3" width="40" customWidth="1"/>
    <col min="4" max="4" width="50" customWidth="1"/>
    <col min="5" max="5" width="20" customWidth="1"/>
  </cols>
  <sheetData>
    <row r="1" spans="1:5" ht="27.75" customHeight="1" x14ac:dyDescent="0.2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</row>
    <row r="2" spans="1:5" ht="60" customHeight="1" x14ac:dyDescent="0.2">
      <c r="A2" s="24" t="s">
        <v>163</v>
      </c>
      <c r="B2" s="25" t="s">
        <v>164</v>
      </c>
      <c r="C2" s="26" t="s">
        <v>165</v>
      </c>
      <c r="D2" s="26" t="s">
        <v>166</v>
      </c>
      <c r="E2" s="26"/>
    </row>
    <row r="3" spans="1:5" ht="60" customHeight="1" x14ac:dyDescent="0.2">
      <c r="A3" s="27" t="s">
        <v>167</v>
      </c>
      <c r="B3" s="28" t="s">
        <v>168</v>
      </c>
      <c r="C3" s="29" t="s">
        <v>169</v>
      </c>
      <c r="D3" s="29" t="s">
        <v>170</v>
      </c>
      <c r="E3" s="29"/>
    </row>
    <row r="4" spans="1:5" ht="60" customHeight="1" x14ac:dyDescent="0.2">
      <c r="A4" s="30" t="s">
        <v>171</v>
      </c>
      <c r="B4" s="31" t="s">
        <v>172</v>
      </c>
      <c r="C4" s="32" t="s">
        <v>173</v>
      </c>
      <c r="D4" s="32" t="s">
        <v>174</v>
      </c>
      <c r="E4" s="32"/>
    </row>
    <row r="5" spans="1:5" ht="60" customHeight="1" x14ac:dyDescent="0.2">
      <c r="A5" s="33" t="s">
        <v>175</v>
      </c>
      <c r="B5" s="34" t="s">
        <v>176</v>
      </c>
      <c r="C5" s="35" t="s">
        <v>177</v>
      </c>
      <c r="D5" s="35" t="s">
        <v>178</v>
      </c>
      <c r="E5" s="35"/>
    </row>
    <row r="6" spans="1:5" ht="60" customHeight="1" x14ac:dyDescent="0.2">
      <c r="A6" s="36" t="s">
        <v>179</v>
      </c>
      <c r="B6" s="37" t="s">
        <v>180</v>
      </c>
      <c r="C6" s="38" t="s">
        <v>181</v>
      </c>
      <c r="D6" s="38" t="s">
        <v>182</v>
      </c>
      <c r="E6" s="3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9"/>
  <sheetViews>
    <sheetView showGridLines="0" zoomScale="130" zoomScaleNormal="130" workbookViewId="0">
      <pane ySplit="6" topLeftCell="A7" activePane="bottomLeft" state="frozen"/>
      <selection pane="bottomLeft" activeCell="H21" sqref="H21"/>
    </sheetView>
  </sheetViews>
  <sheetFormatPr baseColWidth="10" defaultColWidth="8.6640625" defaultRowHeight="15" x14ac:dyDescent="0.2"/>
  <cols>
    <col min="1" max="1" width="30" customWidth="1"/>
    <col min="2" max="11" width="13" customWidth="1"/>
    <col min="12" max="13" width="8" customWidth="1"/>
    <col min="14" max="14" width="14" customWidth="1"/>
  </cols>
  <sheetData>
    <row r="1" spans="1:14" ht="27.75" customHeight="1" x14ac:dyDescent="0.2">
      <c r="A1" s="81" t="s">
        <v>183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ht="19.5" customHeight="1" x14ac:dyDescent="0.2">
      <c r="A2" s="80" t="s">
        <v>184</v>
      </c>
      <c r="B2" s="74"/>
      <c r="C2" s="8" t="s">
        <v>185</v>
      </c>
      <c r="D2" s="78" t="s">
        <v>186</v>
      </c>
      <c r="E2" s="74"/>
      <c r="F2" s="74"/>
      <c r="G2" s="74"/>
    </row>
    <row r="3" spans="1:14" ht="19.5" customHeight="1" x14ac:dyDescent="0.2">
      <c r="A3" s="80" t="s">
        <v>187</v>
      </c>
      <c r="B3" s="74"/>
      <c r="C3" s="39">
        <f>IF(C2="Source",1,IF(C2="Bronze",0.9,IF(C2="Silver",0.75,IF(C2="Gold",0.6,1))))</f>
        <v>1</v>
      </c>
      <c r="D3" s="78" t="s">
        <v>188</v>
      </c>
      <c r="E3" s="74"/>
      <c r="F3" s="74"/>
      <c r="G3" s="74"/>
    </row>
    <row r="4" spans="1:14" ht="19.5" customHeight="1" x14ac:dyDescent="0.2">
      <c r="A4" s="80" t="s">
        <v>40</v>
      </c>
      <c r="B4" s="74"/>
      <c r="C4" s="40">
        <f>'Framework &amp; Weights'!E2</f>
        <v>0</v>
      </c>
      <c r="D4" s="78" t="s">
        <v>189</v>
      </c>
      <c r="E4" s="74"/>
      <c r="F4" s="74"/>
      <c r="G4" s="74"/>
    </row>
    <row r="5" spans="1:14" ht="37.5" customHeight="1" x14ac:dyDescent="0.2">
      <c r="A5" s="41" t="s">
        <v>190</v>
      </c>
      <c r="B5" s="42" t="s">
        <v>191</v>
      </c>
      <c r="C5" s="42" t="s">
        <v>192</v>
      </c>
      <c r="D5" s="42" t="s">
        <v>193</v>
      </c>
      <c r="E5" s="43" t="s">
        <v>57</v>
      </c>
      <c r="F5" s="43" t="s">
        <v>194</v>
      </c>
      <c r="G5" s="43" t="s">
        <v>195</v>
      </c>
      <c r="H5" s="44" t="s">
        <v>196</v>
      </c>
      <c r="I5" s="45" t="s">
        <v>197</v>
      </c>
      <c r="J5" s="46" t="s">
        <v>81</v>
      </c>
      <c r="K5" s="46" t="s">
        <v>198</v>
      </c>
      <c r="L5" s="47" t="s">
        <v>199</v>
      </c>
      <c r="M5" s="47" t="s">
        <v>200</v>
      </c>
      <c r="N5" s="41" t="s">
        <v>201</v>
      </c>
    </row>
    <row r="6" spans="1:14" ht="30" customHeight="1" x14ac:dyDescent="0.2">
      <c r="A6" s="48" t="s">
        <v>202</v>
      </c>
      <c r="B6" s="8">
        <f>'Framework &amp; Weights'!E3</f>
        <v>22</v>
      </c>
      <c r="C6" s="8">
        <f>'Framework &amp; Weights'!E4</f>
        <v>12</v>
      </c>
      <c r="D6" s="8">
        <f>'Framework &amp; Weights'!E5</f>
        <v>5</v>
      </c>
      <c r="E6" s="8">
        <f>'Framework &amp; Weights'!E6</f>
        <v>12</v>
      </c>
      <c r="F6" s="8">
        <f>'Framework &amp; Weights'!E7</f>
        <v>10</v>
      </c>
      <c r="G6" s="8">
        <f>'Framework &amp; Weights'!E8</f>
        <v>10</v>
      </c>
      <c r="H6" s="8">
        <f>'Framework &amp; Weights'!E9</f>
        <v>9</v>
      </c>
      <c r="I6" s="8">
        <f>'Framework &amp; Weights'!E10</f>
        <v>12</v>
      </c>
      <c r="J6" s="8">
        <f>'Framework &amp; Weights'!E11</f>
        <v>5</v>
      </c>
      <c r="K6" s="8">
        <f>'Framework &amp; Weights'!E12</f>
        <v>3</v>
      </c>
      <c r="L6" s="49" t="s">
        <v>199</v>
      </c>
      <c r="M6" s="49" t="s">
        <v>200</v>
      </c>
      <c r="N6" s="50" t="s">
        <v>201</v>
      </c>
    </row>
    <row r="7" spans="1:14" ht="19.5" customHeight="1" x14ac:dyDescent="0.2">
      <c r="A7" s="51" t="s">
        <v>203</v>
      </c>
      <c r="B7" s="52">
        <f t="shared" ref="B7:B16" si="0">0*$C$3</f>
        <v>0</v>
      </c>
      <c r="C7" s="52">
        <v>0</v>
      </c>
      <c r="D7" s="52">
        <v>1</v>
      </c>
      <c r="E7" s="52">
        <v>0.5</v>
      </c>
      <c r="F7" s="52">
        <v>0.5</v>
      </c>
      <c r="G7" s="52">
        <v>0.5</v>
      </c>
      <c r="H7" s="52">
        <v>1</v>
      </c>
      <c r="I7" s="52">
        <v>0.25</v>
      </c>
      <c r="J7" s="52">
        <v>0</v>
      </c>
      <c r="K7" s="52">
        <v>1</v>
      </c>
      <c r="L7" s="53" t="s">
        <v>204</v>
      </c>
      <c r="M7" s="54">
        <f t="shared" ref="M7:M16" si="1">IF(L7="Yes",$C$4,1)</f>
        <v>1</v>
      </c>
      <c r="N7" s="55">
        <f>SUMPRODUCT(B7:K7,B6:K6)*M7</f>
        <v>36</v>
      </c>
    </row>
    <row r="8" spans="1:14" ht="19.5" customHeight="1" x14ac:dyDescent="0.2">
      <c r="A8" s="51" t="s">
        <v>205</v>
      </c>
      <c r="B8" s="52">
        <f t="shared" si="0"/>
        <v>0</v>
      </c>
      <c r="C8" s="52">
        <v>0</v>
      </c>
      <c r="D8" s="52">
        <v>1</v>
      </c>
      <c r="E8" s="52">
        <v>0.5</v>
      </c>
      <c r="F8" s="52">
        <v>0.5</v>
      </c>
      <c r="G8" s="52">
        <v>0.5</v>
      </c>
      <c r="H8" s="52">
        <v>1</v>
      </c>
      <c r="I8" s="52">
        <v>0.25</v>
      </c>
      <c r="J8" s="52">
        <v>0</v>
      </c>
      <c r="K8" s="52">
        <v>1</v>
      </c>
      <c r="L8" s="53" t="s">
        <v>204</v>
      </c>
      <c r="M8" s="54">
        <f t="shared" si="1"/>
        <v>1</v>
      </c>
      <c r="N8" s="55">
        <f>SUMPRODUCT(B8:K8,B6:K6)*M8</f>
        <v>36</v>
      </c>
    </row>
    <row r="9" spans="1:14" ht="19.5" customHeight="1" x14ac:dyDescent="0.2">
      <c r="A9" s="51" t="s">
        <v>206</v>
      </c>
      <c r="B9" s="52">
        <f t="shared" si="0"/>
        <v>0</v>
      </c>
      <c r="C9" s="52">
        <v>0</v>
      </c>
      <c r="D9" s="52">
        <v>1</v>
      </c>
      <c r="E9" s="52">
        <v>0.5</v>
      </c>
      <c r="F9" s="52">
        <v>0.5</v>
      </c>
      <c r="G9" s="52">
        <v>0.5</v>
      </c>
      <c r="H9" s="52">
        <v>1</v>
      </c>
      <c r="I9" s="52">
        <v>0.25</v>
      </c>
      <c r="J9" s="52">
        <v>0</v>
      </c>
      <c r="K9" s="52">
        <v>1</v>
      </c>
      <c r="L9" s="53" t="s">
        <v>204</v>
      </c>
      <c r="M9" s="54">
        <f t="shared" si="1"/>
        <v>1</v>
      </c>
      <c r="N9" s="55">
        <f>SUMPRODUCT(B9:K9,B6:K6)*M9</f>
        <v>36</v>
      </c>
    </row>
    <row r="10" spans="1:14" ht="19.5" customHeight="1" x14ac:dyDescent="0.2">
      <c r="A10" s="51" t="s">
        <v>207</v>
      </c>
      <c r="B10" s="52">
        <f t="shared" si="0"/>
        <v>0</v>
      </c>
      <c r="C10" s="52">
        <v>0</v>
      </c>
      <c r="D10" s="52">
        <v>1</v>
      </c>
      <c r="E10" s="52">
        <v>0.5</v>
      </c>
      <c r="F10" s="52">
        <v>0.5</v>
      </c>
      <c r="G10" s="52">
        <v>0.5</v>
      </c>
      <c r="H10" s="52">
        <v>0</v>
      </c>
      <c r="I10" s="52">
        <v>0</v>
      </c>
      <c r="J10" s="52">
        <v>0</v>
      </c>
      <c r="K10" s="52">
        <v>1</v>
      </c>
      <c r="L10" s="53" t="s">
        <v>204</v>
      </c>
      <c r="M10" s="54">
        <f t="shared" si="1"/>
        <v>1</v>
      </c>
      <c r="N10" s="55">
        <f>SUMPRODUCT(B10:K10,B6:K6)*M10</f>
        <v>24</v>
      </c>
    </row>
    <row r="11" spans="1:14" ht="19.5" customHeight="1" x14ac:dyDescent="0.2">
      <c r="A11" s="51" t="s">
        <v>208</v>
      </c>
      <c r="B11" s="52">
        <f t="shared" si="0"/>
        <v>0</v>
      </c>
      <c r="C11" s="52">
        <v>0</v>
      </c>
      <c r="D11" s="52">
        <v>1</v>
      </c>
      <c r="E11" s="52">
        <v>0.5</v>
      </c>
      <c r="F11" s="52">
        <v>0.5</v>
      </c>
      <c r="G11" s="52">
        <v>0.5</v>
      </c>
      <c r="H11" s="52">
        <v>1</v>
      </c>
      <c r="I11" s="52">
        <v>0.25</v>
      </c>
      <c r="J11" s="52">
        <v>0</v>
      </c>
      <c r="K11" s="52">
        <v>1</v>
      </c>
      <c r="L11" s="53" t="s">
        <v>204</v>
      </c>
      <c r="M11" s="54">
        <f t="shared" si="1"/>
        <v>1</v>
      </c>
      <c r="N11" s="55">
        <f>SUMPRODUCT(B11:K11,B6:K6)*M11</f>
        <v>36</v>
      </c>
    </row>
    <row r="12" spans="1:14" ht="19.5" customHeight="1" x14ac:dyDescent="0.2">
      <c r="A12" s="51" t="s">
        <v>209</v>
      </c>
      <c r="B12" s="52">
        <f t="shared" si="0"/>
        <v>0</v>
      </c>
      <c r="C12" s="52">
        <v>0</v>
      </c>
      <c r="D12" s="52">
        <v>1</v>
      </c>
      <c r="E12" s="52">
        <v>0.5</v>
      </c>
      <c r="F12" s="52">
        <v>0.5</v>
      </c>
      <c r="G12" s="52">
        <v>0.5</v>
      </c>
      <c r="H12" s="52">
        <v>1</v>
      </c>
      <c r="I12" s="52">
        <v>0.25</v>
      </c>
      <c r="J12" s="52">
        <v>0</v>
      </c>
      <c r="K12" s="52">
        <v>1</v>
      </c>
      <c r="L12" s="53" t="s">
        <v>204</v>
      </c>
      <c r="M12" s="54">
        <f t="shared" si="1"/>
        <v>1</v>
      </c>
      <c r="N12" s="55">
        <f>SUMPRODUCT(B12:K12,B6:K6)*M12</f>
        <v>36</v>
      </c>
    </row>
    <row r="13" spans="1:14" ht="19.5" customHeight="1" x14ac:dyDescent="0.2">
      <c r="A13" s="51" t="s">
        <v>210</v>
      </c>
      <c r="B13" s="52">
        <f t="shared" si="0"/>
        <v>0</v>
      </c>
      <c r="C13" s="52">
        <v>0</v>
      </c>
      <c r="D13" s="52">
        <v>1</v>
      </c>
      <c r="E13" s="52">
        <v>0.5</v>
      </c>
      <c r="F13" s="52">
        <v>0.5</v>
      </c>
      <c r="G13" s="52">
        <v>0.5</v>
      </c>
      <c r="H13" s="52">
        <v>0</v>
      </c>
      <c r="I13" s="52">
        <v>0.25</v>
      </c>
      <c r="J13" s="52">
        <v>0</v>
      </c>
      <c r="K13" s="52">
        <v>1</v>
      </c>
      <c r="L13" s="53" t="s">
        <v>204</v>
      </c>
      <c r="M13" s="54">
        <f t="shared" si="1"/>
        <v>1</v>
      </c>
      <c r="N13" s="55">
        <f>SUMPRODUCT(B13:K13,B6:K6)*M13</f>
        <v>27</v>
      </c>
    </row>
    <row r="14" spans="1:14" ht="19.5" customHeight="1" x14ac:dyDescent="0.2">
      <c r="A14" s="51" t="s">
        <v>211</v>
      </c>
      <c r="B14" s="52">
        <f t="shared" si="0"/>
        <v>0</v>
      </c>
      <c r="C14" s="52">
        <v>0</v>
      </c>
      <c r="D14" s="52">
        <v>1</v>
      </c>
      <c r="E14" s="52">
        <v>0.5</v>
      </c>
      <c r="F14" s="52">
        <v>0.5</v>
      </c>
      <c r="G14" s="52">
        <v>0.5</v>
      </c>
      <c r="H14" s="52">
        <v>0</v>
      </c>
      <c r="I14" s="52">
        <v>0.25</v>
      </c>
      <c r="J14" s="52">
        <v>0</v>
      </c>
      <c r="K14" s="52">
        <v>1</v>
      </c>
      <c r="L14" s="53" t="s">
        <v>204</v>
      </c>
      <c r="M14" s="54">
        <f t="shared" si="1"/>
        <v>1</v>
      </c>
      <c r="N14" s="55">
        <f>SUMPRODUCT(B14:K14,B6:K6)*M14</f>
        <v>27</v>
      </c>
    </row>
    <row r="15" spans="1:14" ht="19.5" customHeight="1" x14ac:dyDescent="0.2">
      <c r="A15" s="51" t="s">
        <v>212</v>
      </c>
      <c r="B15" s="52">
        <f t="shared" si="0"/>
        <v>0</v>
      </c>
      <c r="C15" s="52">
        <v>0</v>
      </c>
      <c r="D15" s="52">
        <v>1</v>
      </c>
      <c r="E15" s="52">
        <v>0.5</v>
      </c>
      <c r="F15" s="52">
        <v>0.5</v>
      </c>
      <c r="G15" s="52">
        <v>0.5</v>
      </c>
      <c r="H15" s="52">
        <v>0</v>
      </c>
      <c r="I15" s="52">
        <v>0.25</v>
      </c>
      <c r="J15" s="52">
        <v>0</v>
      </c>
      <c r="K15" s="52">
        <v>1</v>
      </c>
      <c r="L15" s="53" t="s">
        <v>204</v>
      </c>
      <c r="M15" s="54">
        <f t="shared" si="1"/>
        <v>1</v>
      </c>
      <c r="N15" s="55">
        <f>SUMPRODUCT(B15:K15,B6:K6)*M15</f>
        <v>27</v>
      </c>
    </row>
    <row r="16" spans="1:14" ht="19.5" customHeight="1" x14ac:dyDescent="0.2">
      <c r="A16" s="51" t="s">
        <v>213</v>
      </c>
      <c r="B16" s="52">
        <f t="shared" si="0"/>
        <v>0</v>
      </c>
      <c r="C16" s="52">
        <v>0</v>
      </c>
      <c r="D16" s="52">
        <v>1</v>
      </c>
      <c r="E16" s="52">
        <v>0.5</v>
      </c>
      <c r="F16" s="52">
        <v>0.5</v>
      </c>
      <c r="G16" s="52">
        <v>0.5</v>
      </c>
      <c r="H16" s="52">
        <v>0</v>
      </c>
      <c r="I16" s="52">
        <v>0.25</v>
      </c>
      <c r="J16" s="52">
        <v>0</v>
      </c>
      <c r="K16" s="52">
        <v>1</v>
      </c>
      <c r="L16" s="53" t="s">
        <v>204</v>
      </c>
      <c r="M16" s="54">
        <f t="shared" si="1"/>
        <v>1</v>
      </c>
      <c r="N16" s="55">
        <f>SUMPRODUCT(B16:K16,B6:K6)*M16</f>
        <v>27</v>
      </c>
    </row>
    <row r="18" spans="1:14" ht="21.75" customHeight="1" x14ac:dyDescent="0.2">
      <c r="A18" s="56" t="s">
        <v>214</v>
      </c>
      <c r="B18" s="57">
        <f t="shared" ref="B18:K18" si="2">AVERAGE(B7:B16)</f>
        <v>0</v>
      </c>
      <c r="C18" s="57">
        <f t="shared" si="2"/>
        <v>0</v>
      </c>
      <c r="D18" s="57">
        <f t="shared" si="2"/>
        <v>1</v>
      </c>
      <c r="E18" s="57">
        <f t="shared" si="2"/>
        <v>0.5</v>
      </c>
      <c r="F18" s="57">
        <f t="shared" si="2"/>
        <v>0.5</v>
      </c>
      <c r="G18" s="57">
        <f t="shared" si="2"/>
        <v>0.5</v>
      </c>
      <c r="H18" s="57">
        <f t="shared" si="2"/>
        <v>0.5</v>
      </c>
      <c r="I18" s="57">
        <f t="shared" si="2"/>
        <v>0.22500000000000001</v>
      </c>
      <c r="J18" s="57">
        <f t="shared" si="2"/>
        <v>0</v>
      </c>
      <c r="K18" s="57">
        <f t="shared" si="2"/>
        <v>1</v>
      </c>
      <c r="L18" s="58"/>
      <c r="M18" s="58"/>
      <c r="N18" s="59">
        <f>AVERAGE(N7:N16)</f>
        <v>31.2</v>
      </c>
    </row>
    <row r="19" spans="1:14" ht="21.75" customHeight="1" x14ac:dyDescent="0.2">
      <c r="A19" s="82" t="s">
        <v>215</v>
      </c>
      <c r="B19" s="74"/>
      <c r="C19" s="83" t="str">
        <f>IF(N18&gt;=90,"Certified",IF(N18&gt;=75,"Trusted",IF(N18&gt;=60,"Developing",IF(N18&gt;=40,"Provisional","At Risk"))))</f>
        <v>At Risk</v>
      </c>
      <c r="D19" s="84"/>
      <c r="E19" s="84"/>
      <c r="F19" s="85"/>
    </row>
  </sheetData>
  <mergeCells count="9">
    <mergeCell ref="A4:B4"/>
    <mergeCell ref="A1:N1"/>
    <mergeCell ref="A2:B2"/>
    <mergeCell ref="D3:G3"/>
    <mergeCell ref="A19:B19"/>
    <mergeCell ref="D2:G2"/>
    <mergeCell ref="C19:F19"/>
    <mergeCell ref="A3:B3"/>
    <mergeCell ref="D4:G4"/>
  </mergeCells>
  <dataValidations count="2">
    <dataValidation type="list" sqref="C2" xr:uid="{00000000-0002-0000-0400-000000000000}">
      <formula1>"Source,Bronze,Silver,Gold"</formula1>
      <formula2>0</formula2>
    </dataValidation>
    <dataValidation type="list" sqref="L7:L16" xr:uid="{00000000-0002-0000-0400-000001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9"/>
  <sheetViews>
    <sheetView showGridLines="0" tabSelected="1" zoomScale="130" zoomScaleNormal="130" workbookViewId="0">
      <pane ySplit="6" topLeftCell="A7" activePane="bottomLeft" state="frozen"/>
      <selection pane="bottomLeft" activeCell="K21" sqref="K21"/>
    </sheetView>
  </sheetViews>
  <sheetFormatPr baseColWidth="10" defaultColWidth="8.6640625" defaultRowHeight="15" x14ac:dyDescent="0.2"/>
  <cols>
    <col min="1" max="1" width="30" customWidth="1"/>
    <col min="2" max="11" width="13" customWidth="1"/>
    <col min="12" max="13" width="8" customWidth="1"/>
    <col min="14" max="14" width="14" customWidth="1"/>
  </cols>
  <sheetData>
    <row r="1" spans="1:14" ht="27.75" customHeight="1" x14ac:dyDescent="0.2">
      <c r="A1" s="81" t="s">
        <v>216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ht="19.5" customHeight="1" x14ac:dyDescent="0.2">
      <c r="A2" s="80" t="s">
        <v>184</v>
      </c>
      <c r="B2" s="74"/>
      <c r="C2" s="8" t="s">
        <v>185</v>
      </c>
      <c r="D2" s="78" t="s">
        <v>186</v>
      </c>
      <c r="E2" s="74"/>
      <c r="F2" s="74"/>
      <c r="G2" s="74"/>
    </row>
    <row r="3" spans="1:14" ht="19.5" customHeight="1" x14ac:dyDescent="0.2">
      <c r="A3" s="80" t="s">
        <v>187</v>
      </c>
      <c r="B3" s="74"/>
      <c r="C3" s="39">
        <f>IF(C2="Source",1,IF(C2="Bronze",0.9,IF(C2="Silver",0.75,IF(C2="Gold",0.6,1))))</f>
        <v>1</v>
      </c>
      <c r="D3" s="78" t="s">
        <v>188</v>
      </c>
      <c r="E3" s="74"/>
      <c r="F3" s="74"/>
      <c r="G3" s="74"/>
    </row>
    <row r="4" spans="1:14" ht="19.5" customHeight="1" x14ac:dyDescent="0.2">
      <c r="A4" s="80" t="s">
        <v>40</v>
      </c>
      <c r="B4" s="74"/>
      <c r="C4" s="40">
        <f>'Framework &amp; Weights'!E2</f>
        <v>0</v>
      </c>
      <c r="D4" s="78" t="s">
        <v>189</v>
      </c>
      <c r="E4" s="74"/>
      <c r="F4" s="74"/>
      <c r="G4" s="74"/>
    </row>
    <row r="5" spans="1:14" ht="37.5" customHeight="1" x14ac:dyDescent="0.2">
      <c r="A5" s="41" t="s">
        <v>190</v>
      </c>
      <c r="B5" s="42" t="s">
        <v>191</v>
      </c>
      <c r="C5" s="42" t="s">
        <v>192</v>
      </c>
      <c r="D5" s="42" t="s">
        <v>193</v>
      </c>
      <c r="E5" s="43" t="s">
        <v>57</v>
      </c>
      <c r="F5" s="43" t="s">
        <v>194</v>
      </c>
      <c r="G5" s="43" t="s">
        <v>195</v>
      </c>
      <c r="H5" s="44" t="s">
        <v>196</v>
      </c>
      <c r="I5" s="45" t="s">
        <v>197</v>
      </c>
      <c r="J5" s="46" t="s">
        <v>81</v>
      </c>
      <c r="K5" s="46" t="s">
        <v>198</v>
      </c>
      <c r="L5" s="47" t="s">
        <v>199</v>
      </c>
      <c r="M5" s="47" t="s">
        <v>200</v>
      </c>
      <c r="N5" s="41" t="s">
        <v>201</v>
      </c>
    </row>
    <row r="6" spans="1:14" ht="30" customHeight="1" x14ac:dyDescent="0.2">
      <c r="A6" s="48" t="s">
        <v>202</v>
      </c>
      <c r="B6" s="8">
        <f>'Framework &amp; Weights'!E3</f>
        <v>22</v>
      </c>
      <c r="C6" s="8">
        <f>'Framework &amp; Weights'!E4</f>
        <v>12</v>
      </c>
      <c r="D6" s="8">
        <f>'Framework &amp; Weights'!E5</f>
        <v>5</v>
      </c>
      <c r="E6" s="8">
        <f>'Framework &amp; Weights'!E6</f>
        <v>12</v>
      </c>
      <c r="F6" s="8">
        <f>'Framework &amp; Weights'!E7</f>
        <v>10</v>
      </c>
      <c r="G6" s="8">
        <f>'Framework &amp; Weights'!E8</f>
        <v>10</v>
      </c>
      <c r="H6" s="8">
        <f>'Framework &amp; Weights'!E9</f>
        <v>9</v>
      </c>
      <c r="I6" s="8">
        <f>'Framework &amp; Weights'!E10</f>
        <v>12</v>
      </c>
      <c r="J6" s="8">
        <f>'Framework &amp; Weights'!E11</f>
        <v>5</v>
      </c>
      <c r="K6" s="8">
        <f>'Framework &amp; Weights'!E12</f>
        <v>3</v>
      </c>
      <c r="L6" s="49" t="s">
        <v>199</v>
      </c>
      <c r="M6" s="49" t="s">
        <v>200</v>
      </c>
      <c r="N6" s="50" t="s">
        <v>201</v>
      </c>
    </row>
    <row r="7" spans="1:14" ht="19.5" customHeight="1" x14ac:dyDescent="0.2">
      <c r="A7" s="51" t="s">
        <v>217</v>
      </c>
      <c r="B7" s="52">
        <f t="shared" ref="B7:B16" si="0">0*$C$3</f>
        <v>0</v>
      </c>
      <c r="C7" s="52">
        <v>0</v>
      </c>
      <c r="D7" s="52">
        <v>1</v>
      </c>
      <c r="E7" s="52">
        <v>0.5</v>
      </c>
      <c r="F7" s="52">
        <v>0.5</v>
      </c>
      <c r="G7" s="52">
        <v>0.5</v>
      </c>
      <c r="H7" s="52">
        <v>0</v>
      </c>
      <c r="I7" s="52">
        <v>1</v>
      </c>
      <c r="J7" s="52">
        <v>0</v>
      </c>
      <c r="K7" s="52">
        <v>1</v>
      </c>
      <c r="L7" s="53" t="s">
        <v>204</v>
      </c>
      <c r="M7" s="54">
        <f t="shared" ref="M7:M16" si="1">IF(L7="Yes",$C$4,1)</f>
        <v>1</v>
      </c>
      <c r="N7" s="55">
        <f>SUMPRODUCT(B7:K7,B6:K6)*M7</f>
        <v>36</v>
      </c>
    </row>
    <row r="8" spans="1:14" ht="19.5" customHeight="1" x14ac:dyDescent="0.2">
      <c r="A8" s="51" t="s">
        <v>218</v>
      </c>
      <c r="B8" s="52">
        <f t="shared" si="0"/>
        <v>0</v>
      </c>
      <c r="C8" s="52">
        <v>0</v>
      </c>
      <c r="D8" s="52">
        <v>1</v>
      </c>
      <c r="E8" s="52">
        <v>0.5</v>
      </c>
      <c r="F8" s="52">
        <v>0.5</v>
      </c>
      <c r="G8" s="52">
        <v>0.5</v>
      </c>
      <c r="H8" s="52">
        <v>1</v>
      </c>
      <c r="I8" s="52">
        <v>0</v>
      </c>
      <c r="J8" s="52">
        <v>0</v>
      </c>
      <c r="K8" s="52">
        <v>1</v>
      </c>
      <c r="L8" s="53" t="s">
        <v>204</v>
      </c>
      <c r="M8" s="54">
        <f t="shared" si="1"/>
        <v>1</v>
      </c>
      <c r="N8" s="55">
        <f>SUMPRODUCT(B8:K8,B6:K6)*M8</f>
        <v>33</v>
      </c>
    </row>
    <row r="9" spans="1:14" ht="19.5" customHeight="1" x14ac:dyDescent="0.2">
      <c r="A9" s="51" t="s">
        <v>219</v>
      </c>
      <c r="B9" s="52">
        <f t="shared" si="0"/>
        <v>0</v>
      </c>
      <c r="C9" s="52">
        <v>0</v>
      </c>
      <c r="D9" s="52">
        <v>1</v>
      </c>
      <c r="E9" s="52">
        <v>0.5</v>
      </c>
      <c r="F9" s="52">
        <v>0.5</v>
      </c>
      <c r="G9" s="52">
        <v>0.5</v>
      </c>
      <c r="H9" s="52">
        <v>1</v>
      </c>
      <c r="I9" s="52">
        <v>0</v>
      </c>
      <c r="J9" s="52">
        <v>0</v>
      </c>
      <c r="K9" s="52">
        <v>1</v>
      </c>
      <c r="L9" s="53" t="s">
        <v>204</v>
      </c>
      <c r="M9" s="54">
        <f t="shared" si="1"/>
        <v>1</v>
      </c>
      <c r="N9" s="55">
        <f>SUMPRODUCT(B9:K9,B6:K6)*M9</f>
        <v>33</v>
      </c>
    </row>
    <row r="10" spans="1:14" ht="19.5" customHeight="1" x14ac:dyDescent="0.2">
      <c r="A10" s="51" t="s">
        <v>220</v>
      </c>
      <c r="B10" s="52">
        <f t="shared" si="0"/>
        <v>0</v>
      </c>
      <c r="C10" s="52">
        <v>0</v>
      </c>
      <c r="D10" s="52">
        <v>1</v>
      </c>
      <c r="E10" s="52">
        <v>0.5</v>
      </c>
      <c r="F10" s="52">
        <v>0.5</v>
      </c>
      <c r="G10" s="52">
        <v>0.5</v>
      </c>
      <c r="H10" s="52">
        <v>0</v>
      </c>
      <c r="I10" s="52">
        <v>1</v>
      </c>
      <c r="J10" s="52">
        <v>0</v>
      </c>
      <c r="K10" s="52">
        <v>1</v>
      </c>
      <c r="L10" s="53" t="s">
        <v>204</v>
      </c>
      <c r="M10" s="54">
        <f t="shared" si="1"/>
        <v>1</v>
      </c>
      <c r="N10" s="55">
        <f>SUMPRODUCT(B10:K10,B6:K6)*M10</f>
        <v>36</v>
      </c>
    </row>
    <row r="11" spans="1:14" ht="19.5" customHeight="1" x14ac:dyDescent="0.2">
      <c r="A11" s="51" t="s">
        <v>221</v>
      </c>
      <c r="B11" s="52">
        <f t="shared" si="0"/>
        <v>0</v>
      </c>
      <c r="C11" s="52">
        <v>0</v>
      </c>
      <c r="D11" s="52">
        <v>1</v>
      </c>
      <c r="E11" s="52">
        <v>0.5</v>
      </c>
      <c r="F11" s="52">
        <v>0.5</v>
      </c>
      <c r="G11" s="52">
        <v>0.5</v>
      </c>
      <c r="H11" s="52">
        <v>1</v>
      </c>
      <c r="I11" s="52">
        <v>1</v>
      </c>
      <c r="J11" s="52">
        <v>0</v>
      </c>
      <c r="K11" s="52">
        <v>1</v>
      </c>
      <c r="L11" s="53" t="s">
        <v>204</v>
      </c>
      <c r="M11" s="54">
        <f t="shared" si="1"/>
        <v>1</v>
      </c>
      <c r="N11" s="55">
        <f>SUMPRODUCT(B11:K11,B6:K6)*M11</f>
        <v>45</v>
      </c>
    </row>
    <row r="12" spans="1:14" ht="19.5" customHeight="1" x14ac:dyDescent="0.2">
      <c r="A12" s="51" t="s">
        <v>222</v>
      </c>
      <c r="B12" s="52">
        <f t="shared" si="0"/>
        <v>0</v>
      </c>
      <c r="C12" s="52">
        <v>0</v>
      </c>
      <c r="D12" s="52">
        <v>1</v>
      </c>
      <c r="E12" s="52">
        <v>0.5</v>
      </c>
      <c r="F12" s="52">
        <v>0.5</v>
      </c>
      <c r="G12" s="52">
        <v>0.5</v>
      </c>
      <c r="H12" s="52">
        <v>1</v>
      </c>
      <c r="I12" s="52">
        <v>1</v>
      </c>
      <c r="J12" s="52">
        <v>0</v>
      </c>
      <c r="K12" s="52">
        <v>1</v>
      </c>
      <c r="L12" s="53" t="s">
        <v>204</v>
      </c>
      <c r="M12" s="54">
        <f t="shared" si="1"/>
        <v>1</v>
      </c>
      <c r="N12" s="55">
        <f>SUMPRODUCT(B12:K12,B6:K6)*M12</f>
        <v>45</v>
      </c>
    </row>
    <row r="13" spans="1:14" ht="19.5" customHeight="1" x14ac:dyDescent="0.2">
      <c r="A13" s="51" t="s">
        <v>223</v>
      </c>
      <c r="B13" s="52">
        <f t="shared" si="0"/>
        <v>0</v>
      </c>
      <c r="C13" s="52">
        <v>0</v>
      </c>
      <c r="D13" s="52">
        <v>1</v>
      </c>
      <c r="E13" s="52">
        <v>0.5</v>
      </c>
      <c r="F13" s="52">
        <v>0.5</v>
      </c>
      <c r="G13" s="52">
        <v>0.5</v>
      </c>
      <c r="H13" s="52">
        <v>1</v>
      </c>
      <c r="I13" s="52">
        <v>0</v>
      </c>
      <c r="J13" s="52">
        <v>0</v>
      </c>
      <c r="K13" s="52">
        <v>1</v>
      </c>
      <c r="L13" s="53" t="s">
        <v>204</v>
      </c>
      <c r="M13" s="54">
        <f t="shared" si="1"/>
        <v>1</v>
      </c>
      <c r="N13" s="55">
        <f>SUMPRODUCT(B13:K13,B6:K6)*M13</f>
        <v>33</v>
      </c>
    </row>
    <row r="14" spans="1:14" ht="19.5" customHeight="1" x14ac:dyDescent="0.2">
      <c r="A14" s="51" t="s">
        <v>224</v>
      </c>
      <c r="B14" s="52">
        <f t="shared" si="0"/>
        <v>0</v>
      </c>
      <c r="C14" s="52">
        <v>0</v>
      </c>
      <c r="D14" s="52">
        <v>1</v>
      </c>
      <c r="E14" s="52">
        <v>0.5</v>
      </c>
      <c r="F14" s="52">
        <v>0.5</v>
      </c>
      <c r="G14" s="52">
        <v>0.5</v>
      </c>
      <c r="H14" s="52">
        <v>1</v>
      </c>
      <c r="I14" s="52">
        <v>1</v>
      </c>
      <c r="J14" s="52">
        <v>0</v>
      </c>
      <c r="K14" s="52">
        <v>1</v>
      </c>
      <c r="L14" s="53" t="s">
        <v>204</v>
      </c>
      <c r="M14" s="54">
        <f t="shared" si="1"/>
        <v>1</v>
      </c>
      <c r="N14" s="55">
        <f>SUMPRODUCT(B14:K14,B6:K6)*M14</f>
        <v>45</v>
      </c>
    </row>
    <row r="15" spans="1:14" ht="19.5" customHeight="1" x14ac:dyDescent="0.2">
      <c r="A15" s="51" t="s">
        <v>225</v>
      </c>
      <c r="B15" s="52">
        <f t="shared" si="0"/>
        <v>0</v>
      </c>
      <c r="C15" s="52">
        <v>0</v>
      </c>
      <c r="D15" s="52">
        <v>1</v>
      </c>
      <c r="E15" s="52">
        <v>0.5</v>
      </c>
      <c r="F15" s="52">
        <v>0.5</v>
      </c>
      <c r="G15" s="52">
        <v>0.5</v>
      </c>
      <c r="H15" s="52">
        <v>1</v>
      </c>
      <c r="I15" s="52">
        <v>1</v>
      </c>
      <c r="J15" s="52">
        <v>0</v>
      </c>
      <c r="K15" s="52">
        <v>1</v>
      </c>
      <c r="L15" s="53" t="s">
        <v>204</v>
      </c>
      <c r="M15" s="54">
        <f t="shared" si="1"/>
        <v>1</v>
      </c>
      <c r="N15" s="55">
        <f>SUMPRODUCT(B15:K15,B6:K6)*M15</f>
        <v>45</v>
      </c>
    </row>
    <row r="16" spans="1:14" ht="19.5" customHeight="1" x14ac:dyDescent="0.2">
      <c r="A16" s="51" t="s">
        <v>226</v>
      </c>
      <c r="B16" s="52">
        <f t="shared" si="0"/>
        <v>0</v>
      </c>
      <c r="C16" s="52">
        <v>0</v>
      </c>
      <c r="D16" s="52">
        <v>1</v>
      </c>
      <c r="E16" s="52">
        <v>0.5</v>
      </c>
      <c r="F16" s="52">
        <v>0.5</v>
      </c>
      <c r="G16" s="52">
        <v>0.5</v>
      </c>
      <c r="H16" s="52">
        <v>1</v>
      </c>
      <c r="I16" s="52">
        <v>0</v>
      </c>
      <c r="J16" s="52">
        <v>0</v>
      </c>
      <c r="K16" s="52">
        <v>1</v>
      </c>
      <c r="L16" s="53" t="s">
        <v>204</v>
      </c>
      <c r="M16" s="54">
        <f t="shared" si="1"/>
        <v>1</v>
      </c>
      <c r="N16" s="55">
        <f>SUMPRODUCT(B16:K16,B6:K6)*M16</f>
        <v>33</v>
      </c>
    </row>
    <row r="18" spans="1:14" ht="21.75" customHeight="1" x14ac:dyDescent="0.2">
      <c r="A18" s="56" t="s">
        <v>214</v>
      </c>
      <c r="B18" s="57">
        <f t="shared" ref="B18:K18" si="2">AVERAGE(B7:B16)</f>
        <v>0</v>
      </c>
      <c r="C18" s="57">
        <f t="shared" si="2"/>
        <v>0</v>
      </c>
      <c r="D18" s="57">
        <f t="shared" si="2"/>
        <v>1</v>
      </c>
      <c r="E18" s="57">
        <f t="shared" si="2"/>
        <v>0.5</v>
      </c>
      <c r="F18" s="57">
        <f t="shared" si="2"/>
        <v>0.5</v>
      </c>
      <c r="G18" s="57">
        <f t="shared" si="2"/>
        <v>0.5</v>
      </c>
      <c r="H18" s="57">
        <f t="shared" si="2"/>
        <v>0.8</v>
      </c>
      <c r="I18" s="57">
        <f t="shared" si="2"/>
        <v>0.6</v>
      </c>
      <c r="J18" s="57">
        <f t="shared" si="2"/>
        <v>0</v>
      </c>
      <c r="K18" s="57">
        <f t="shared" si="2"/>
        <v>1</v>
      </c>
      <c r="L18" s="58"/>
      <c r="M18" s="58"/>
      <c r="N18" s="59">
        <f>AVERAGE(N7:N16)</f>
        <v>38.4</v>
      </c>
    </row>
    <row r="19" spans="1:14" ht="21.75" customHeight="1" x14ac:dyDescent="0.2">
      <c r="A19" s="82" t="s">
        <v>215</v>
      </c>
      <c r="B19" s="74"/>
      <c r="C19" s="83" t="str">
        <f>IF(N18&gt;=90,"Certified",IF(N18&gt;=75,"Trusted",IF(N18&gt;=60,"Developing",IF(N18&gt;=40,"Provisional","At Risk"))))</f>
        <v>At Risk</v>
      </c>
      <c r="D19" s="84"/>
      <c r="E19" s="84"/>
      <c r="F19" s="85"/>
    </row>
  </sheetData>
  <mergeCells count="9">
    <mergeCell ref="A4:B4"/>
    <mergeCell ref="A1:N1"/>
    <mergeCell ref="A2:B2"/>
    <mergeCell ref="D3:G3"/>
    <mergeCell ref="A19:B19"/>
    <mergeCell ref="D2:G2"/>
    <mergeCell ref="C19:F19"/>
    <mergeCell ref="A3:B3"/>
    <mergeCell ref="D4:G4"/>
  </mergeCells>
  <dataValidations count="2">
    <dataValidation type="list" sqref="C2" xr:uid="{00000000-0002-0000-0500-000000000000}">
      <formula1>"Source,Bronze,Silver,Gold"</formula1>
      <formula2>0</formula2>
    </dataValidation>
    <dataValidation type="list" sqref="L7:L16" xr:uid="{00000000-0002-0000-0500-000001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4"/>
  <sheetViews>
    <sheetView showGridLines="0" zoomScaleNormal="100" workbookViewId="0">
      <selection sqref="A1:N1"/>
    </sheetView>
  </sheetViews>
  <sheetFormatPr baseColWidth="10" defaultColWidth="8.6640625" defaultRowHeight="15" x14ac:dyDescent="0.2"/>
  <cols>
    <col min="1" max="1" width="30" customWidth="1"/>
    <col min="2" max="2" width="16" customWidth="1"/>
    <col min="3" max="3" width="10" customWidth="1"/>
    <col min="4" max="5" width="18" customWidth="1"/>
    <col min="6" max="6" width="16" customWidth="1"/>
    <col min="7" max="7" width="30" customWidth="1"/>
  </cols>
  <sheetData>
    <row r="1" spans="1:14" ht="27.75" customHeight="1" x14ac:dyDescent="0.2">
      <c r="A1" s="81" t="s">
        <v>227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ht="37.5" customHeight="1" x14ac:dyDescent="0.2">
      <c r="A2" s="1" t="s">
        <v>33</v>
      </c>
      <c r="B2" s="1" t="s">
        <v>35</v>
      </c>
      <c r="C2" s="1" t="s">
        <v>228</v>
      </c>
      <c r="D2" s="1" t="s">
        <v>229</v>
      </c>
      <c r="E2" s="1" t="s">
        <v>230</v>
      </c>
      <c r="F2" s="1" t="s">
        <v>231</v>
      </c>
      <c r="G2" s="1" t="s">
        <v>98</v>
      </c>
    </row>
    <row r="3" spans="1:14" ht="21.75" customHeight="1" x14ac:dyDescent="0.2">
      <c r="A3" s="51" t="s">
        <v>232</v>
      </c>
      <c r="B3" s="7" t="s">
        <v>44</v>
      </c>
      <c r="C3" s="60">
        <v>22</v>
      </c>
      <c r="D3" s="61">
        <f>'Score - STG_POSITION'!B18</f>
        <v>0</v>
      </c>
      <c r="E3" s="61">
        <f>'Score - STG_TRENDED'!B18</f>
        <v>0</v>
      </c>
      <c r="F3" s="62">
        <f t="shared" ref="F3:F13" si="0">E3-D3</f>
        <v>0</v>
      </c>
      <c r="G3" s="16"/>
    </row>
    <row r="4" spans="1:14" ht="21.75" customHeight="1" x14ac:dyDescent="0.2">
      <c r="A4" s="51" t="s">
        <v>233</v>
      </c>
      <c r="B4" s="7" t="s">
        <v>44</v>
      </c>
      <c r="C4" s="60">
        <v>12</v>
      </c>
      <c r="D4" s="61">
        <f>'Score - STG_POSITION'!C18</f>
        <v>0</v>
      </c>
      <c r="E4" s="61">
        <f>'Score - STG_TRENDED'!C18</f>
        <v>0</v>
      </c>
      <c r="F4" s="62">
        <f t="shared" si="0"/>
        <v>0</v>
      </c>
      <c r="G4" s="16"/>
    </row>
    <row r="5" spans="1:14" ht="21.75" customHeight="1" x14ac:dyDescent="0.2">
      <c r="A5" s="51" t="s">
        <v>234</v>
      </c>
      <c r="B5" s="7" t="s">
        <v>44</v>
      </c>
      <c r="C5" s="60">
        <v>5</v>
      </c>
      <c r="D5" s="61">
        <f>'Score - STG_POSITION'!D18</f>
        <v>1</v>
      </c>
      <c r="E5" s="61">
        <f>'Score - STG_TRENDED'!D18</f>
        <v>1</v>
      </c>
      <c r="F5" s="62">
        <f t="shared" si="0"/>
        <v>0</v>
      </c>
      <c r="G5" s="16"/>
    </row>
    <row r="6" spans="1:14" ht="21.75" customHeight="1" x14ac:dyDescent="0.2">
      <c r="A6" s="51" t="s">
        <v>235</v>
      </c>
      <c r="B6" s="10" t="s">
        <v>59</v>
      </c>
      <c r="C6" s="60">
        <v>12</v>
      </c>
      <c r="D6" s="61">
        <f>'Score - STG_POSITION'!E18</f>
        <v>0.5</v>
      </c>
      <c r="E6" s="61">
        <f>'Score - STG_TRENDED'!E18</f>
        <v>0.5</v>
      </c>
      <c r="F6" s="62">
        <f t="shared" si="0"/>
        <v>0</v>
      </c>
      <c r="G6" s="16"/>
    </row>
    <row r="7" spans="1:14" ht="21.75" customHeight="1" x14ac:dyDescent="0.2">
      <c r="A7" s="51" t="s">
        <v>236</v>
      </c>
      <c r="B7" s="10" t="s">
        <v>59</v>
      </c>
      <c r="C7" s="60">
        <v>10</v>
      </c>
      <c r="D7" s="61">
        <f>'Score - STG_POSITION'!F18</f>
        <v>0.5</v>
      </c>
      <c r="E7" s="61">
        <f>'Score - STG_TRENDED'!F18</f>
        <v>0.5</v>
      </c>
      <c r="F7" s="62">
        <f t="shared" si="0"/>
        <v>0</v>
      </c>
      <c r="G7" s="16"/>
    </row>
    <row r="8" spans="1:14" ht="21.75" customHeight="1" x14ac:dyDescent="0.2">
      <c r="A8" s="51" t="s">
        <v>67</v>
      </c>
      <c r="B8" s="10" t="s">
        <v>59</v>
      </c>
      <c r="C8" s="60">
        <v>10</v>
      </c>
      <c r="D8" s="61">
        <f>'Score - STG_POSITION'!G18</f>
        <v>0.5</v>
      </c>
      <c r="E8" s="61">
        <f>'Score - STG_TRENDED'!G18</f>
        <v>0.5</v>
      </c>
      <c r="F8" s="62">
        <f t="shared" si="0"/>
        <v>0</v>
      </c>
      <c r="G8" s="16"/>
    </row>
    <row r="9" spans="1:14" ht="21.75" customHeight="1" x14ac:dyDescent="0.2">
      <c r="A9" s="51" t="s">
        <v>237</v>
      </c>
      <c r="B9" s="11" t="s">
        <v>72</v>
      </c>
      <c r="C9" s="60">
        <v>9</v>
      </c>
      <c r="D9" s="61">
        <f>'Score - STG_POSITION'!H18</f>
        <v>0.5</v>
      </c>
      <c r="E9" s="61">
        <f>'Score - STG_TRENDED'!H18</f>
        <v>0.8</v>
      </c>
      <c r="F9" s="62">
        <f t="shared" si="0"/>
        <v>0.30000000000000004</v>
      </c>
      <c r="G9" s="16"/>
    </row>
    <row r="10" spans="1:14" ht="21.75" customHeight="1" x14ac:dyDescent="0.2">
      <c r="A10" s="51" t="s">
        <v>238</v>
      </c>
      <c r="B10" s="12" t="s">
        <v>77</v>
      </c>
      <c r="C10" s="60">
        <v>12</v>
      </c>
      <c r="D10" s="61">
        <f>'Score - STG_POSITION'!I18</f>
        <v>0.22500000000000001</v>
      </c>
      <c r="E10" s="61">
        <f>'Score - STG_TRENDED'!I18</f>
        <v>0.6</v>
      </c>
      <c r="F10" s="62">
        <f t="shared" si="0"/>
        <v>0.375</v>
      </c>
      <c r="G10" s="16"/>
    </row>
    <row r="11" spans="1:14" ht="21.75" customHeight="1" x14ac:dyDescent="0.2">
      <c r="A11" s="51" t="s">
        <v>81</v>
      </c>
      <c r="B11" s="13" t="s">
        <v>82</v>
      </c>
      <c r="C11" s="60">
        <v>5</v>
      </c>
      <c r="D11" s="61">
        <f>'Score - STG_POSITION'!J18</f>
        <v>0</v>
      </c>
      <c r="E11" s="61">
        <f>'Score - STG_TRENDED'!J18</f>
        <v>0</v>
      </c>
      <c r="F11" s="62">
        <f t="shared" si="0"/>
        <v>0</v>
      </c>
      <c r="G11" s="16"/>
    </row>
    <row r="12" spans="1:14" ht="21.75" customHeight="1" x14ac:dyDescent="0.2">
      <c r="A12" s="51" t="s">
        <v>86</v>
      </c>
      <c r="B12" s="13" t="s">
        <v>82</v>
      </c>
      <c r="C12" s="60">
        <v>3</v>
      </c>
      <c r="D12" s="61">
        <f>'Score - STG_POSITION'!K18</f>
        <v>1</v>
      </c>
      <c r="E12" s="61">
        <f>'Score - STG_TRENDED'!K18</f>
        <v>1</v>
      </c>
      <c r="F12" s="62">
        <f t="shared" si="0"/>
        <v>0</v>
      </c>
      <c r="G12" s="16"/>
    </row>
    <row r="13" spans="1:14" ht="24" customHeight="1" x14ac:dyDescent="0.2">
      <c r="A13" s="86" t="s">
        <v>239</v>
      </c>
      <c r="B13" s="84"/>
      <c r="C13" s="85"/>
      <c r="D13" s="63">
        <f>'Score - STG_POSITION'!N18</f>
        <v>31.2</v>
      </c>
      <c r="E13" s="63">
        <f>'Score - STG_TRENDED'!N18</f>
        <v>38.4</v>
      </c>
      <c r="F13" s="64">
        <f t="shared" si="0"/>
        <v>7.1999999999999993</v>
      </c>
    </row>
    <row r="14" spans="1:14" ht="21.75" customHeight="1" x14ac:dyDescent="0.2">
      <c r="A14" s="87" t="s">
        <v>158</v>
      </c>
      <c r="B14" s="84"/>
      <c r="C14" s="85"/>
      <c r="D14" s="65" t="str">
        <f>IF(D13&gt;=90,"Certified",IF(D13&gt;=75,"Trusted",IF(D13&gt;=60,"Developing",IF(D13&gt;=40,"Provisional","At Risk"))))</f>
        <v>At Risk</v>
      </c>
      <c r="E14" s="65" t="str">
        <f>IF(E13&gt;=90,"Certified",IF(E13&gt;=75,"Trusted",IF(E13&gt;=60,"Developing",IF(E13&gt;=40,"Provisional","At Risk"))))</f>
        <v>At Risk</v>
      </c>
      <c r="F14" s="16"/>
    </row>
  </sheetData>
  <mergeCells count="3">
    <mergeCell ref="A13:C13"/>
    <mergeCell ref="A14:C14"/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showGridLines="0" zoomScaleNormal="100" workbookViewId="0"/>
  </sheetViews>
  <sheetFormatPr baseColWidth="10" defaultColWidth="8.6640625" defaultRowHeight="15" x14ac:dyDescent="0.2"/>
  <cols>
    <col min="1" max="1" width="10" customWidth="1"/>
    <col min="2" max="2" width="26" customWidth="1"/>
    <col min="3" max="3" width="14" customWidth="1"/>
    <col min="4" max="5" width="30" customWidth="1"/>
    <col min="6" max="6" width="50" customWidth="1"/>
    <col min="7" max="7" width="38" customWidth="1"/>
  </cols>
  <sheetData>
    <row r="1" spans="1:7" ht="27.75" customHeight="1" x14ac:dyDescent="0.2">
      <c r="A1" s="81" t="s">
        <v>240</v>
      </c>
      <c r="B1" s="74"/>
      <c r="C1" s="74"/>
      <c r="D1" s="74"/>
      <c r="E1" s="74"/>
      <c r="F1" s="74"/>
      <c r="G1" s="74"/>
    </row>
    <row r="2" spans="1:7" ht="39.75" customHeight="1" x14ac:dyDescent="0.2">
      <c r="A2" s="88" t="s">
        <v>241</v>
      </c>
      <c r="B2" s="74"/>
      <c r="C2" s="74"/>
      <c r="D2" s="74"/>
      <c r="E2" s="74"/>
      <c r="F2" s="74"/>
      <c r="G2" s="74"/>
    </row>
    <row r="3" spans="1:7" ht="27.75" customHeight="1" x14ac:dyDescent="0.2">
      <c r="A3" s="1" t="s">
        <v>242</v>
      </c>
      <c r="B3" s="1" t="s">
        <v>33</v>
      </c>
      <c r="C3" s="1" t="s">
        <v>35</v>
      </c>
      <c r="D3" s="1" t="s">
        <v>243</v>
      </c>
      <c r="E3" s="1" t="s">
        <v>244</v>
      </c>
      <c r="F3" s="1" t="s">
        <v>245</v>
      </c>
      <c r="G3" s="1" t="s">
        <v>246</v>
      </c>
    </row>
    <row r="4" spans="1:7" ht="64.5" customHeight="1" x14ac:dyDescent="0.2">
      <c r="A4" s="66">
        <v>1</v>
      </c>
      <c r="B4" s="67" t="s">
        <v>247</v>
      </c>
      <c r="C4" s="7" t="s">
        <v>44</v>
      </c>
      <c r="D4" s="68" t="s">
        <v>248</v>
      </c>
      <c r="E4" s="69" t="s">
        <v>249</v>
      </c>
      <c r="F4" s="9" t="s">
        <v>250</v>
      </c>
      <c r="G4" s="70" t="s">
        <v>251</v>
      </c>
    </row>
    <row r="5" spans="1:7" ht="64.5" customHeight="1" x14ac:dyDescent="0.2">
      <c r="A5" s="66">
        <v>2</v>
      </c>
      <c r="B5" s="67" t="s">
        <v>67</v>
      </c>
      <c r="C5" s="10" t="s">
        <v>59</v>
      </c>
      <c r="D5" s="68" t="s">
        <v>252</v>
      </c>
      <c r="E5" s="69" t="s">
        <v>253</v>
      </c>
      <c r="F5" s="9" t="s">
        <v>254</v>
      </c>
      <c r="G5" s="70" t="s">
        <v>255</v>
      </c>
    </row>
    <row r="6" spans="1:7" ht="64.5" customHeight="1" x14ac:dyDescent="0.2">
      <c r="A6" s="66">
        <v>3</v>
      </c>
      <c r="B6" s="67" t="s">
        <v>233</v>
      </c>
      <c r="C6" s="7" t="s">
        <v>44</v>
      </c>
      <c r="D6" s="68" t="s">
        <v>256</v>
      </c>
      <c r="E6" s="69" t="s">
        <v>257</v>
      </c>
      <c r="F6" s="9" t="s">
        <v>258</v>
      </c>
      <c r="G6" s="70" t="s">
        <v>259</v>
      </c>
    </row>
    <row r="7" spans="1:7" ht="64.5" customHeight="1" x14ac:dyDescent="0.2">
      <c r="A7" s="66">
        <v>4</v>
      </c>
      <c r="B7" s="67" t="s">
        <v>260</v>
      </c>
      <c r="C7" s="12" t="s">
        <v>77</v>
      </c>
      <c r="D7" s="71" t="s">
        <v>261</v>
      </c>
      <c r="E7" s="69" t="s">
        <v>262</v>
      </c>
      <c r="F7" s="9" t="s">
        <v>263</v>
      </c>
      <c r="G7" s="70" t="s">
        <v>147</v>
      </c>
    </row>
    <row r="8" spans="1:7" ht="64.5" customHeight="1" x14ac:dyDescent="0.2">
      <c r="A8" s="66">
        <v>5</v>
      </c>
      <c r="B8" s="67" t="s">
        <v>235</v>
      </c>
      <c r="C8" s="10" t="s">
        <v>59</v>
      </c>
      <c r="D8" s="71" t="s">
        <v>264</v>
      </c>
      <c r="E8" s="69" t="s">
        <v>265</v>
      </c>
      <c r="F8" s="9" t="s">
        <v>266</v>
      </c>
      <c r="G8" s="70" t="s">
        <v>125</v>
      </c>
    </row>
    <row r="9" spans="1:7" ht="64.5" customHeight="1" x14ac:dyDescent="0.2">
      <c r="A9" s="66">
        <v>6</v>
      </c>
      <c r="B9" s="67" t="s">
        <v>267</v>
      </c>
      <c r="C9" s="10" t="s">
        <v>59</v>
      </c>
      <c r="D9" s="71" t="s">
        <v>268</v>
      </c>
      <c r="E9" s="69" t="s">
        <v>269</v>
      </c>
      <c r="F9" s="9" t="s">
        <v>270</v>
      </c>
      <c r="G9" s="70" t="s">
        <v>132</v>
      </c>
    </row>
    <row r="10" spans="1:7" ht="64.5" customHeight="1" x14ac:dyDescent="0.2">
      <c r="A10" s="66">
        <v>7</v>
      </c>
      <c r="B10" s="67" t="s">
        <v>271</v>
      </c>
      <c r="C10" s="11" t="s">
        <v>72</v>
      </c>
      <c r="D10" s="72" t="s">
        <v>272</v>
      </c>
      <c r="E10" s="69" t="s">
        <v>273</v>
      </c>
      <c r="F10" s="9" t="s">
        <v>274</v>
      </c>
      <c r="G10" s="70" t="s">
        <v>132</v>
      </c>
    </row>
    <row r="11" spans="1:7" ht="64.5" customHeight="1" x14ac:dyDescent="0.2">
      <c r="A11" s="66">
        <v>8</v>
      </c>
      <c r="B11" s="67" t="s">
        <v>234</v>
      </c>
      <c r="C11" s="7" t="s">
        <v>44</v>
      </c>
      <c r="D11" s="72" t="s">
        <v>275</v>
      </c>
      <c r="E11" s="69" t="s">
        <v>276</v>
      </c>
      <c r="F11" s="9" t="s">
        <v>277</v>
      </c>
      <c r="G11" s="70" t="s">
        <v>119</v>
      </c>
    </row>
    <row r="12" spans="1:7" ht="64.5" customHeight="1" x14ac:dyDescent="0.2">
      <c r="A12" s="66">
        <v>9</v>
      </c>
      <c r="B12" s="67" t="s">
        <v>81</v>
      </c>
      <c r="C12" s="13" t="s">
        <v>82</v>
      </c>
      <c r="D12" s="72" t="s">
        <v>278</v>
      </c>
      <c r="E12" s="69" t="s">
        <v>279</v>
      </c>
      <c r="F12" s="9" t="s">
        <v>280</v>
      </c>
      <c r="G12" s="70" t="s">
        <v>281</v>
      </c>
    </row>
    <row r="13" spans="1:7" ht="64.5" customHeight="1" x14ac:dyDescent="0.2">
      <c r="A13" s="66">
        <v>10</v>
      </c>
      <c r="B13" s="67" t="s">
        <v>86</v>
      </c>
      <c r="C13" s="13" t="s">
        <v>82</v>
      </c>
      <c r="D13" s="72" t="s">
        <v>282</v>
      </c>
      <c r="E13" s="69" t="s">
        <v>283</v>
      </c>
      <c r="F13" s="9" t="s">
        <v>284</v>
      </c>
      <c r="G13" s="70" t="s">
        <v>285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Framework &amp; Weights</vt:lpstr>
      <vt:lpstr>Scoring Rubrics</vt:lpstr>
      <vt:lpstr>Trust Bands</vt:lpstr>
      <vt:lpstr>Score - STG_POSITION</vt:lpstr>
      <vt:lpstr>Score - STG_TRENDED</vt:lpstr>
      <vt:lpstr>Dataset Summary</vt:lpstr>
      <vt:lpstr>Roadmap to Certified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Worley, Darian</cp:lastModifiedBy>
  <cp:revision>0</cp:revision>
  <dcterms:created xsi:type="dcterms:W3CDTF">2026-06-30T19:02:37Z</dcterms:created>
  <dcterms:modified xsi:type="dcterms:W3CDTF">2026-07-02T20:49:57Z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727f5b6-1fa7-4376-9113-d3bf343b02d6_Enabled">
    <vt:lpwstr>true</vt:lpwstr>
  </property>
  <property fmtid="{D5CDD505-2E9C-101B-9397-08002B2CF9AE}" pid="3" name="MSIP_Label_6727f5b6-1fa7-4376-9113-d3bf343b02d6_SetDate">
    <vt:lpwstr>2026-07-02T13:47:05Z</vt:lpwstr>
  </property>
  <property fmtid="{D5CDD505-2E9C-101B-9397-08002B2CF9AE}" pid="4" name="MSIP_Label_6727f5b6-1fa7-4376-9113-d3bf343b02d6_Method">
    <vt:lpwstr>Standard</vt:lpwstr>
  </property>
  <property fmtid="{D5CDD505-2E9C-101B-9397-08002B2CF9AE}" pid="5" name="MSIP_Label_6727f5b6-1fa7-4376-9113-d3bf343b02d6_Name">
    <vt:lpwstr>WBD Internal</vt:lpwstr>
  </property>
  <property fmtid="{D5CDD505-2E9C-101B-9397-08002B2CF9AE}" pid="6" name="MSIP_Label_6727f5b6-1fa7-4376-9113-d3bf343b02d6_SiteId">
    <vt:lpwstr>0eb48825-e871-4459-bc72-d0ecd68f1f39</vt:lpwstr>
  </property>
  <property fmtid="{D5CDD505-2E9C-101B-9397-08002B2CF9AE}" pid="7" name="MSIP_Label_6727f5b6-1fa7-4376-9113-d3bf343b02d6_ActionId">
    <vt:lpwstr>7ed065ac-642d-4ee8-8814-a194e69eef7a</vt:lpwstr>
  </property>
  <property fmtid="{D5CDD505-2E9C-101B-9397-08002B2CF9AE}" pid="8" name="MSIP_Label_6727f5b6-1fa7-4376-9113-d3bf343b02d6_ContentBits">
    <vt:lpwstr>0</vt:lpwstr>
  </property>
  <property fmtid="{D5CDD505-2E9C-101B-9397-08002B2CF9AE}" pid="9" name="MSIP_Label_6727f5b6-1fa7-4376-9113-d3bf343b02d6_Tag">
    <vt:lpwstr>50, 3, 0, 1</vt:lpwstr>
  </property>
</Properties>
</file>